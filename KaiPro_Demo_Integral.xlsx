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rian.salamea\Downloads\"/>
    </mc:Choice>
  </mc:AlternateContent>
  <xr:revisionPtr revIDLastSave="0" documentId="8_{09EB6D7A-C30A-4D8D-A57E-F9098750B5D7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INICIO" sheetId="1" r:id="rId1"/>
    <sheet name="PRODUCCION" sheetId="2" r:id="rId2"/>
    <sheet name="FINANZAS" sheetId="3" r:id="rId3"/>
    <sheet name="INVENTARIO" sheetId="4" r:id="rId4"/>
    <sheet name="RENTABILIDAD" sheetId="5" r:id="rId5"/>
    <sheet name="CONFIGURAC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5" l="1"/>
  <c r="D21" i="5"/>
  <c r="D20" i="5"/>
  <c r="D19" i="5"/>
  <c r="D18" i="5"/>
  <c r="E18" i="5" s="1"/>
  <c r="F17" i="5"/>
  <c r="E17" i="5"/>
  <c r="D17" i="5"/>
  <c r="E12" i="5"/>
  <c r="D12" i="5"/>
  <c r="C12" i="5"/>
  <c r="F11" i="5"/>
  <c r="G11" i="5" s="1"/>
  <c r="H11" i="5" s="1"/>
  <c r="I11" i="5" s="1"/>
  <c r="G10" i="5"/>
  <c r="H10" i="5" s="1"/>
  <c r="I10" i="5" s="1"/>
  <c r="F10" i="5"/>
  <c r="F9" i="5"/>
  <c r="G9" i="5" s="1"/>
  <c r="H9" i="5" s="1"/>
  <c r="I9" i="5" s="1"/>
  <c r="F8" i="5"/>
  <c r="G8" i="5" s="1"/>
  <c r="H8" i="5" s="1"/>
  <c r="I8" i="5" s="1"/>
  <c r="G7" i="5"/>
  <c r="H7" i="5" s="1"/>
  <c r="I7" i="5" s="1"/>
  <c r="F7" i="5"/>
  <c r="F6" i="5"/>
  <c r="F12" i="5" s="1"/>
  <c r="B19" i="4"/>
  <c r="K15" i="4"/>
  <c r="J15" i="4"/>
  <c r="I15" i="4"/>
  <c r="H15" i="4"/>
  <c r="K14" i="4"/>
  <c r="J14" i="4"/>
  <c r="I14" i="4"/>
  <c r="H14" i="4"/>
  <c r="K13" i="4"/>
  <c r="J13" i="4"/>
  <c r="I13" i="4"/>
  <c r="H13" i="4"/>
  <c r="K12" i="4"/>
  <c r="J12" i="4"/>
  <c r="I12" i="4"/>
  <c r="H12" i="4"/>
  <c r="K11" i="4"/>
  <c r="J11" i="4"/>
  <c r="I11" i="4"/>
  <c r="H11" i="4"/>
  <c r="K10" i="4"/>
  <c r="J10" i="4"/>
  <c r="I10" i="4"/>
  <c r="H10" i="4"/>
  <c r="K9" i="4"/>
  <c r="J9" i="4"/>
  <c r="I9" i="4"/>
  <c r="H9" i="4"/>
  <c r="K8" i="4"/>
  <c r="J8" i="4"/>
  <c r="I8" i="4"/>
  <c r="H8" i="4"/>
  <c r="H16" i="4" s="1"/>
  <c r="F32" i="4" s="1"/>
  <c r="J7" i="1" s="1"/>
  <c r="K7" i="4"/>
  <c r="J7" i="4"/>
  <c r="J16" i="4" s="1"/>
  <c r="H32" i="4" s="1"/>
  <c r="K15" i="1" s="1"/>
  <c r="L15" i="1" s="1"/>
  <c r="I7" i="4"/>
  <c r="I16" i="4" s="1"/>
  <c r="G32" i="4" s="1"/>
  <c r="K14" i="1" s="1"/>
  <c r="L14" i="1" s="1"/>
  <c r="H7" i="4"/>
  <c r="K6" i="4"/>
  <c r="J6" i="4"/>
  <c r="I6" i="4"/>
  <c r="H6" i="4"/>
  <c r="H25" i="3"/>
  <c r="D25" i="3"/>
  <c r="C25" i="3"/>
  <c r="H24" i="3"/>
  <c r="D24" i="3"/>
  <c r="C24" i="3"/>
  <c r="H21" i="3"/>
  <c r="H29" i="3" s="1"/>
  <c r="G21" i="3"/>
  <c r="F21" i="3"/>
  <c r="E21" i="3"/>
  <c r="D21" i="3"/>
  <c r="D29" i="3" s="1"/>
  <c r="C21" i="3"/>
  <c r="C27" i="3" s="1"/>
  <c r="I20" i="3"/>
  <c r="J20" i="3" s="1"/>
  <c r="K20" i="3" s="1"/>
  <c r="L20" i="3" s="1"/>
  <c r="M20" i="3" s="1"/>
  <c r="N20" i="3" s="1"/>
  <c r="I19" i="3"/>
  <c r="J19" i="3" s="1"/>
  <c r="K19" i="3" s="1"/>
  <c r="L19" i="3" s="1"/>
  <c r="M19" i="3" s="1"/>
  <c r="N19" i="3" s="1"/>
  <c r="I18" i="3"/>
  <c r="J18" i="3" s="1"/>
  <c r="K18" i="3" s="1"/>
  <c r="L18" i="3" s="1"/>
  <c r="M18" i="3" s="1"/>
  <c r="N18" i="3" s="1"/>
  <c r="I17" i="3"/>
  <c r="J17" i="3" s="1"/>
  <c r="K17" i="3" s="1"/>
  <c r="L17" i="3" s="1"/>
  <c r="M17" i="3" s="1"/>
  <c r="N17" i="3" s="1"/>
  <c r="I16" i="3"/>
  <c r="J16" i="3" s="1"/>
  <c r="K16" i="3" s="1"/>
  <c r="L16" i="3" s="1"/>
  <c r="M16" i="3" s="1"/>
  <c r="N16" i="3" s="1"/>
  <c r="I15" i="3"/>
  <c r="I21" i="3" s="1"/>
  <c r="I14" i="3"/>
  <c r="J14" i="3" s="1"/>
  <c r="H10" i="3"/>
  <c r="G10" i="3"/>
  <c r="G29" i="3" s="1"/>
  <c r="F10" i="3"/>
  <c r="F29" i="3" s="1"/>
  <c r="E10" i="3"/>
  <c r="E29" i="3" s="1"/>
  <c r="D10" i="3"/>
  <c r="C10" i="3"/>
  <c r="I9" i="3"/>
  <c r="J9" i="3" s="1"/>
  <c r="K9" i="3" s="1"/>
  <c r="L9" i="3" s="1"/>
  <c r="M9" i="3" s="1"/>
  <c r="N9" i="3" s="1"/>
  <c r="I8" i="3"/>
  <c r="J8" i="3" s="1"/>
  <c r="K8" i="3" s="1"/>
  <c r="L8" i="3" s="1"/>
  <c r="M8" i="3" s="1"/>
  <c r="N8" i="3" s="1"/>
  <c r="I7" i="3"/>
  <c r="I10" i="3" s="1"/>
  <c r="I6" i="3"/>
  <c r="J6" i="3" s="1"/>
  <c r="H26" i="2"/>
  <c r="H25" i="2"/>
  <c r="M24" i="2"/>
  <c r="N23" i="2"/>
  <c r="M23" i="2"/>
  <c r="L23" i="2"/>
  <c r="K23" i="2"/>
  <c r="J23" i="2"/>
  <c r="I23" i="2"/>
  <c r="H23" i="2"/>
  <c r="G23" i="2"/>
  <c r="F23" i="2"/>
  <c r="E23" i="2"/>
  <c r="D23" i="2"/>
  <c r="C23" i="2"/>
  <c r="O23" i="2" s="1"/>
  <c r="M22" i="2"/>
  <c r="M25" i="2" s="1"/>
  <c r="L22" i="2"/>
  <c r="L24" i="2" s="1"/>
  <c r="K22" i="2"/>
  <c r="K25" i="2" s="1"/>
  <c r="H22" i="2"/>
  <c r="H24" i="2" s="1"/>
  <c r="D22" i="2"/>
  <c r="D26" i="2" s="1"/>
  <c r="C22" i="2"/>
  <c r="O17" i="2"/>
  <c r="O16" i="2"/>
  <c r="O15" i="2"/>
  <c r="O14" i="2"/>
  <c r="N10" i="2"/>
  <c r="N22" i="2" s="1"/>
  <c r="M10" i="2"/>
  <c r="L10" i="2"/>
  <c r="K10" i="2"/>
  <c r="J10" i="2"/>
  <c r="J22" i="2" s="1"/>
  <c r="I10" i="2"/>
  <c r="I22" i="2" s="1"/>
  <c r="H10" i="2"/>
  <c r="G10" i="2"/>
  <c r="G22" i="2" s="1"/>
  <c r="F10" i="2"/>
  <c r="F22" i="2" s="1"/>
  <c r="E10" i="2"/>
  <c r="E22" i="2" s="1"/>
  <c r="D10" i="2"/>
  <c r="C10" i="2"/>
  <c r="P9" i="2"/>
  <c r="O9" i="2"/>
  <c r="P8" i="2"/>
  <c r="O8" i="2"/>
  <c r="P7" i="2"/>
  <c r="O7" i="2"/>
  <c r="P6" i="2"/>
  <c r="P10" i="2" s="1"/>
  <c r="O6" i="2"/>
  <c r="O10" i="2" s="1"/>
  <c r="Q30" i="2" s="1"/>
  <c r="B7" i="1" s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I26" i="2" l="1"/>
  <c r="I24" i="2"/>
  <c r="I25" i="2"/>
  <c r="J26" i="2"/>
  <c r="J25" i="2"/>
  <c r="J24" i="2"/>
  <c r="N26" i="2"/>
  <c r="N25" i="2"/>
  <c r="N24" i="2"/>
  <c r="J21" i="3"/>
  <c r="K14" i="3"/>
  <c r="K6" i="3"/>
  <c r="F18" i="5"/>
  <c r="E19" i="5"/>
  <c r="E26" i="2"/>
  <c r="E25" i="2"/>
  <c r="E24" i="2"/>
  <c r="I29" i="3"/>
  <c r="I28" i="3"/>
  <c r="I27" i="3"/>
  <c r="I26" i="3"/>
  <c r="I25" i="3"/>
  <c r="I24" i="3"/>
  <c r="F26" i="2"/>
  <c r="F25" i="2"/>
  <c r="F24" i="2"/>
  <c r="G26" i="2"/>
  <c r="G25" i="2"/>
  <c r="G24" i="2"/>
  <c r="O22" i="2"/>
  <c r="L25" i="2"/>
  <c r="J7" i="3"/>
  <c r="K7" i="3" s="1"/>
  <c r="L7" i="3" s="1"/>
  <c r="M7" i="3" s="1"/>
  <c r="N7" i="3" s="1"/>
  <c r="J15" i="3"/>
  <c r="K15" i="3" s="1"/>
  <c r="L15" i="3" s="1"/>
  <c r="M15" i="3" s="1"/>
  <c r="N15" i="3" s="1"/>
  <c r="D26" i="3"/>
  <c r="D27" i="3"/>
  <c r="D28" i="3"/>
  <c r="C24" i="2"/>
  <c r="M26" i="2"/>
  <c r="E24" i="3"/>
  <c r="E25" i="3"/>
  <c r="E26" i="3"/>
  <c r="E27" i="3"/>
  <c r="E28" i="3"/>
  <c r="G6" i="5"/>
  <c r="D24" i="2"/>
  <c r="C25" i="2"/>
  <c r="F24" i="3"/>
  <c r="F25" i="3"/>
  <c r="F26" i="3"/>
  <c r="F27" i="3"/>
  <c r="F28" i="3"/>
  <c r="K26" i="2"/>
  <c r="C26" i="3"/>
  <c r="C28" i="3"/>
  <c r="S9" i="2"/>
  <c r="D25" i="2"/>
  <c r="C26" i="2"/>
  <c r="G24" i="3"/>
  <c r="G25" i="3"/>
  <c r="G26" i="3"/>
  <c r="G27" i="3"/>
  <c r="G28" i="3"/>
  <c r="H26" i="3"/>
  <c r="H27" i="3"/>
  <c r="H28" i="3"/>
  <c r="C29" i="3"/>
  <c r="T9" i="2"/>
  <c r="K17" i="1" s="1"/>
  <c r="L17" i="1" s="1"/>
  <c r="L26" i="2"/>
  <c r="K24" i="2"/>
  <c r="O25" i="2" l="1"/>
  <c r="K10" i="3"/>
  <c r="L6" i="3"/>
  <c r="O26" i="2"/>
  <c r="K21" i="3"/>
  <c r="L14" i="3"/>
  <c r="G12" i="5"/>
  <c r="H6" i="5"/>
  <c r="H28" i="5"/>
  <c r="F7" i="1" s="1"/>
  <c r="H7" i="1"/>
  <c r="K12" i="1"/>
  <c r="L12" i="1" s="1"/>
  <c r="O24" i="2"/>
  <c r="E20" i="5"/>
  <c r="F19" i="5"/>
  <c r="J10" i="3"/>
  <c r="M14" i="3" l="1"/>
  <c r="L21" i="3"/>
  <c r="H12" i="5"/>
  <c r="I6" i="5"/>
  <c r="H25" i="5"/>
  <c r="K13" i="1" s="1"/>
  <c r="L13" i="1" s="1"/>
  <c r="J29" i="3"/>
  <c r="J28" i="3"/>
  <c r="J27" i="3"/>
  <c r="J26" i="3"/>
  <c r="J25" i="3"/>
  <c r="J24" i="3"/>
  <c r="E21" i="5"/>
  <c r="F20" i="5"/>
  <c r="K29" i="3"/>
  <c r="K25" i="3"/>
  <c r="K26" i="3"/>
  <c r="K28" i="3"/>
  <c r="K24" i="3"/>
  <c r="K27" i="3"/>
  <c r="M6" i="3"/>
  <c r="L10" i="3"/>
  <c r="E22" i="5" l="1"/>
  <c r="F22" i="5" s="1"/>
  <c r="F21" i="5"/>
  <c r="L25" i="3"/>
  <c r="L28" i="3"/>
  <c r="L29" i="3"/>
  <c r="L27" i="3"/>
  <c r="L26" i="3"/>
  <c r="L24" i="3"/>
  <c r="N6" i="3"/>
  <c r="N10" i="3" s="1"/>
  <c r="M10" i="3"/>
  <c r="N14" i="3"/>
  <c r="N21" i="3" s="1"/>
  <c r="M21" i="3"/>
  <c r="N29" i="3" l="1"/>
  <c r="N28" i="3"/>
  <c r="N27" i="3"/>
  <c r="N26" i="3"/>
  <c r="N25" i="3"/>
  <c r="N24" i="3"/>
  <c r="M29" i="3"/>
  <c r="E38" i="3" s="1"/>
  <c r="M28" i="3"/>
  <c r="M27" i="3"/>
  <c r="M26" i="3"/>
  <c r="M25" i="3"/>
  <c r="M24" i="3"/>
  <c r="K16" i="1" l="1"/>
  <c r="L16" i="1" s="1"/>
  <c r="L7" i="1"/>
  <c r="E35" i="3"/>
  <c r="D7" i="1" s="1"/>
</calcChain>
</file>

<file path=xl/sharedStrings.xml><?xml version="1.0" encoding="utf-8"?>
<sst xmlns="http://schemas.openxmlformats.org/spreadsheetml/2006/main" count="261" uniqueCount="173">
  <si>
    <t>KAIPRO  |  Dashboard Integral de Gestión Empresarial</t>
  </si>
  <si>
    <t>Versión Demo  ·  Actualizable con tus datos reales</t>
  </si>
  <si>
    <t>◆  RESUMEN EJECUTIVO — INDICADORES CLAVE</t>
  </si>
  <si>
    <t>VENTAS MES</t>
  </si>
  <si>
    <t>COSTO TOTAL</t>
  </si>
  <si>
    <t>MARGEN NETO</t>
  </si>
  <si>
    <t>EFICIENCIA</t>
  </si>
  <si>
    <t>STOCK VALOR</t>
  </si>
  <si>
    <t>FLUJO NETO</t>
  </si>
  <si>
    <t>VENTAS VS META MENSUAL</t>
  </si>
  <si>
    <t>SEMÁFORO DE INDICADORES</t>
  </si>
  <si>
    <t>Mes</t>
  </si>
  <si>
    <t>Ventas</t>
  </si>
  <si>
    <t>Meta</t>
  </si>
  <si>
    <t>Var $</t>
  </si>
  <si>
    <t>Var %</t>
  </si>
  <si>
    <t>Estado</t>
  </si>
  <si>
    <t>Indicador</t>
  </si>
  <si>
    <t>Valor</t>
  </si>
  <si>
    <t>Semáforo</t>
  </si>
  <si>
    <t>Ene</t>
  </si>
  <si>
    <t>Eficiencia Producción</t>
  </si>
  <si>
    <t>Feb</t>
  </si>
  <si>
    <t>Margen Bruto</t>
  </si>
  <si>
    <t>Mar</t>
  </si>
  <si>
    <t>Rotación Inventario</t>
  </si>
  <si>
    <t>Abr</t>
  </si>
  <si>
    <t>Cobertura Stock (días)</t>
  </si>
  <si>
    <t>May</t>
  </si>
  <si>
    <t>Flujo Operativo</t>
  </si>
  <si>
    <t>Jun</t>
  </si>
  <si>
    <t>Cumpl. Ventas</t>
  </si>
  <si>
    <t>ℹ  CÓMO USAR ESTE ARCHIVO</t>
  </si>
  <si>
    <t>1. Ingresa tus datos en las pestañas: PRODUCCIÓN · FINANZAS · INVENTARIO · RENTABILIDAD</t>
  </si>
  <si>
    <t>2. Los campos en azul son editables. Los campos en negro son fórmulas — no modificar.</t>
  </si>
  <si>
    <t>3. Este dashboard (INICIO) se actualiza automáticamente.</t>
  </si>
  <si>
    <t>4. Los semáforos cambian de color según los umbrales definidos en cada hoja.</t>
  </si>
  <si>
    <t>5. Personaliza metas y productos desde cada hoja de datos.</t>
  </si>
  <si>
    <t>KAIPRO  |  MÓDULO DE PRODUCCIÓN — KPIs OPERATIVOS</t>
  </si>
  <si>
    <t>DATOS DE ENTRADA — PRODUCCIÓN MENSUAL</t>
  </si>
  <si>
    <t>Producto/Línea</t>
  </si>
  <si>
    <t>Jul</t>
  </si>
  <si>
    <t>Ago</t>
  </si>
  <si>
    <t>Sep</t>
  </si>
  <si>
    <t>Oct</t>
  </si>
  <si>
    <t>Nov</t>
  </si>
  <si>
    <t>Dic</t>
  </si>
  <si>
    <t>TOTAL</t>
  </si>
  <si>
    <t>PROMEDIO</t>
  </si>
  <si>
    <t>EFIC.%</t>
  </si>
  <si>
    <t>CUMPL.%</t>
  </si>
  <si>
    <t>Producto A</t>
  </si>
  <si>
    <t>Producto B</t>
  </si>
  <si>
    <t>Producto C</t>
  </si>
  <si>
    <t>Producto D</t>
  </si>
  <si>
    <t>TOTAL PRODUCCIÓN</t>
  </si>
  <si>
    <t>METAS DE PRODUCCIÓN</t>
  </si>
  <si>
    <t>Meta A</t>
  </si>
  <si>
    <t>Meta B</t>
  </si>
  <si>
    <t>Meta C</t>
  </si>
  <si>
    <t>Meta D</t>
  </si>
  <si>
    <t>KPIs — EFICIENCIA Y CUMPLIMIENTO POR MES</t>
  </si>
  <si>
    <t>Producción Total</t>
  </si>
  <si>
    <t>Meta Total</t>
  </si>
  <si>
    <t>Diferencia</t>
  </si>
  <si>
    <t>Eficiencia %</t>
  </si>
  <si>
    <t>Cumplimiento %</t>
  </si>
  <si>
    <t>KAIPRO  |  MÓDULO FINANCIERO — FLUJO DE CAJA Y GASTOS</t>
  </si>
  <si>
    <t>INGRESOS</t>
  </si>
  <si>
    <t>Concepto</t>
  </si>
  <si>
    <t>Ventas Producto A</t>
  </si>
  <si>
    <t>Ventas Producto B</t>
  </si>
  <si>
    <t>Ventas Producto C</t>
  </si>
  <si>
    <t>Otros Ingresos</t>
  </si>
  <si>
    <t>TOTAL INGRESOS</t>
  </si>
  <si>
    <t>COSTOS Y GASTOS OPERATIVOS</t>
  </si>
  <si>
    <t>Costo de Producción</t>
  </si>
  <si>
    <t>Materia Prima</t>
  </si>
  <si>
    <t>Mano de Obra</t>
  </si>
  <si>
    <t>Gastos Generales</t>
  </si>
  <si>
    <t>Gastos Administrativos</t>
  </si>
  <si>
    <t>Gastos de Ventas</t>
  </si>
  <si>
    <t>Depreciación</t>
  </si>
  <si>
    <t>TOTAL COSTOS</t>
  </si>
  <si>
    <t>RESULTADOS</t>
  </si>
  <si>
    <t>Utilidad Bruta</t>
  </si>
  <si>
    <t>Margen Bruto %</t>
  </si>
  <si>
    <t>EBITDA</t>
  </si>
  <si>
    <t>Utilidad Neta</t>
  </si>
  <si>
    <t>Margen Neto %</t>
  </si>
  <si>
    <t>Flujo Neto Caja</t>
  </si>
  <si>
    <t>KAIPRO  |  CONTROL DE INVENTARIO Y ROTACIÓN</t>
  </si>
  <si>
    <t>INVENTARIO ACTUAL — VALORIZADO</t>
  </si>
  <si>
    <t>Producto/Material</t>
  </si>
  <si>
    <t>Categoría</t>
  </si>
  <si>
    <t>Stock Actual</t>
  </si>
  <si>
    <t>Stock Mín</t>
  </si>
  <si>
    <t>Stock Máx</t>
  </si>
  <si>
    <t>Costo Unitario</t>
  </si>
  <si>
    <t>Valor Total</t>
  </si>
  <si>
    <t>Rotación (veces)</t>
  </si>
  <si>
    <t>Cobertura (días)</t>
  </si>
  <si>
    <t>Materia Prima A</t>
  </si>
  <si>
    <t>Insumo</t>
  </si>
  <si>
    <t>Materia Prima B</t>
  </si>
  <si>
    <t>Producto A PT</t>
  </si>
  <si>
    <t>PT</t>
  </si>
  <si>
    <t>Producto B PT</t>
  </si>
  <si>
    <t>Producto C PT</t>
  </si>
  <si>
    <t>Embalaje Cajas</t>
  </si>
  <si>
    <t>Empaque</t>
  </si>
  <si>
    <t>Embalaje Bolsas</t>
  </si>
  <si>
    <t>Repuesto Equipo A</t>
  </si>
  <si>
    <t>Repuesto</t>
  </si>
  <si>
    <t>Repuesto Equipo B</t>
  </si>
  <si>
    <t>Suministros Ofic.</t>
  </si>
  <si>
    <t>Admin</t>
  </si>
  <si>
    <t>TOTAL INVENTARIO</t>
  </si>
  <si>
    <t>⚠  ALERTAS DE REABASTECIMIENTO</t>
  </si>
  <si>
    <t>KAIPRO  |  RENTABILIDAD POR PRODUCTO Y CLIENTE</t>
  </si>
  <si>
    <t>ANÁLISIS DE RENTABILIDAD POR PRODUCTO</t>
  </si>
  <si>
    <t>Producto</t>
  </si>
  <si>
    <t>Precio Venta</t>
  </si>
  <si>
    <t>Costo Producción</t>
  </si>
  <si>
    <t>Costo Distrib.</t>
  </si>
  <si>
    <t>Costo Total</t>
  </si>
  <si>
    <t>Margen $</t>
  </si>
  <si>
    <t>Margen %</t>
  </si>
  <si>
    <t>Clasificación</t>
  </si>
  <si>
    <t>Producto E</t>
  </si>
  <si>
    <t>Producto F</t>
  </si>
  <si>
    <t>ANÁLISIS PARETO — TOP PRODUCTOS POR MARGEN $</t>
  </si>
  <si>
    <t>% Acumulado</t>
  </si>
  <si>
    <t>Categoría Pareto</t>
  </si>
  <si>
    <t>KAIPRO  |  CONFIGURACIÓN GENERAL Y SUPUESTOS</t>
  </si>
  <si>
    <t>▸  Todos los campos en azul son editables</t>
  </si>
  <si>
    <t>Parámetro</t>
  </si>
  <si>
    <t>Descripción</t>
  </si>
  <si>
    <t>── EMPRESA ──</t>
  </si>
  <si>
    <t>Nombre de la empresa</t>
  </si>
  <si>
    <t>Mi Empresa S.A.</t>
  </si>
  <si>
    <t>Editar con nombre real</t>
  </si>
  <si>
    <t>RUC / NIT</t>
  </si>
  <si>
    <t>0000000000001</t>
  </si>
  <si>
    <t>Editar</t>
  </si>
  <si>
    <t>Sector / Industria</t>
  </si>
  <si>
    <t>Manufactura</t>
  </si>
  <si>
    <t>Moneda</t>
  </si>
  <si>
    <t>USD</t>
  </si>
  <si>
    <t>USD / EUR / etc.</t>
  </si>
  <si>
    <t>Año fiscal</t>
  </si>
  <si>
    <t>Año en curso</t>
  </si>
  <si>
    <t>── SUPUESTOS FINANCIEROS ──</t>
  </si>
  <si>
    <t>Tasa de crecimiento ventas</t>
  </si>
  <si>
    <t>% mensual proyectado</t>
  </si>
  <si>
    <t>Tasa de crecimiento costos</t>
  </si>
  <si>
    <t>Impuesto a la renta</t>
  </si>
  <si>
    <t>25% por defecto</t>
  </si>
  <si>
    <t>Tasa de descuento (WACC)</t>
  </si>
  <si>
    <t>12% anual</t>
  </si>
  <si>
    <t>── UMBRALES SEMÁFORO ──</t>
  </si>
  <si>
    <t>Eficiencia verde (&gt;=)</t>
  </si>
  <si>
    <t>85% o más</t>
  </si>
  <si>
    <t>Eficiencia amarillo (&gt;=)</t>
  </si>
  <si>
    <t>75% - 84%</t>
  </si>
  <si>
    <t>Margen verde (&gt;=)</t>
  </si>
  <si>
    <t>35% o más</t>
  </si>
  <si>
    <t>Margen amarillo (&gt;=)</t>
  </si>
  <si>
    <t>25% - 34%</t>
  </si>
  <si>
    <t>Rotación verde (&gt;=)</t>
  </si>
  <si>
    <t>4 veces o más</t>
  </si>
  <si>
    <t>Rotación amarillo (&gt;=)</t>
  </si>
  <si>
    <t>2.5 - 3.9 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</si>
</sst>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 &quot;#,##0"/>
    <numFmt numFmtId="165" formatCode="0.0%"/>
    <numFmt numFmtId="166" formatCode="0.0"/>
    <numFmt numFmtId="167" formatCode="&quot;$ &quot;#,##0.00"/>
  </numFmts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1AA7C7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1E8449"/>
      <name val="Arial"/>
      <charset val="1"/>
    </font>
    <font>
      <sz val="9"/>
      <color rgb="FF000000"/>
      <name val="Arial"/>
      <charset val="1"/>
    </font>
    <font>
      <b/>
      <sz val="10"/>
      <color rgb="FFC0392B"/>
      <name val="Arial"/>
      <charset val="1"/>
    </font>
    <font>
      <sz val="9"/>
      <color rgb="FF444444"/>
      <name val="Arial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555555"/>
      <name val="Arial"/>
      <charset val="1"/>
    </font>
    <font>
      <b/>
      <sz val="10"/>
      <color rgb="FF0000FF"/>
      <name val="Arial"/>
      <charset val="1"/>
    </font>
    <font>
      <i/>
      <sz val="9"/>
      <color rgb="FF666666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42850"/>
        <bgColor rgb="FF003300"/>
      </patternFill>
    </fill>
    <fill>
      <patternFill patternType="solid">
        <fgColor rgb="FF1AA7C7"/>
        <bgColor rgb="FF3D97AF"/>
      </patternFill>
    </fill>
    <fill>
      <patternFill patternType="solid">
        <fgColor rgb="FF1A5276"/>
        <bgColor rgb="FF444444"/>
      </patternFill>
    </fill>
    <fill>
      <patternFill patternType="solid">
        <fgColor rgb="FFF5F8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E0EC"/>
        <bgColor rgb="FFD9D9D9"/>
      </patternFill>
    </fill>
    <fill>
      <patternFill patternType="solid">
        <fgColor rgb="FFEBF5FB"/>
        <bgColor rgb="FFF5F8FB"/>
      </patternFill>
    </fill>
    <fill>
      <patternFill patternType="solid">
        <fgColor rgb="FF1E8449"/>
        <bgColor rgb="FF3D97AF"/>
      </patternFill>
    </fill>
    <fill>
      <patternFill patternType="solid">
        <fgColor rgb="FFA93226"/>
        <bgColor rgb="FFC0392B"/>
      </patternFill>
    </fill>
    <fill>
      <patternFill patternType="solid">
        <fgColor rgb="FFC0392B"/>
        <bgColor rgb="FFA93226"/>
      </patternFill>
    </fill>
  </fills>
  <borders count="2">
    <border>
      <left/>
      <right/>
      <top/>
      <bottom/>
      <diagonal/>
    </border>
    <border>
      <left style="thin">
        <color rgb="FFD6E0EC"/>
      </left>
      <right style="thin">
        <color rgb="FFD6E0EC"/>
      </right>
      <top style="thin">
        <color rgb="FFD6E0EC"/>
      </top>
      <bottom style="thin">
        <color rgb="FFD6E0EC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2" fillId="5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165" fontId="0" fillId="6" borderId="1" xfId="0" applyNumberForma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3" fontId="8" fillId="8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0" fillId="0" borderId="0" xfId="0" applyNumberFormat="1"/>
    <xf numFmtId="0" fontId="6" fillId="2" borderId="0" xfId="0" applyFont="1" applyFill="1" applyAlignment="1">
      <alignment horizontal="left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5" fillId="5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15" fillId="0" borderId="0" xfId="0" applyFont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left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left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167" fontId="8" fillId="5" borderId="1" xfId="0" applyNumberFormat="1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167" fontId="8" fillId="8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6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66" fontId="0" fillId="0" borderId="0" xfId="0" applyNumberFormat="1"/>
    <xf numFmtId="1" fontId="0" fillId="0" borderId="0" xfId="0" applyNumberFormat="1"/>
    <xf numFmtId="167" fontId="0" fillId="5" borderId="1" xfId="0" applyNumberForma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6" fillId="2" borderId="0" xfId="0" applyFont="1" applyFill="1"/>
    <xf numFmtId="167" fontId="6" fillId="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167" fontId="8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166" fontId="17" fillId="8" borderId="1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11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CC8F8E"/>
      <rgbColor rgb="FFFF00FF"/>
      <rgbColor rgb="FF8EA5CA"/>
      <rgbColor rgb="FF800000"/>
      <rgbColor rgb="FF7F8C8D"/>
      <rgbColor rgb="FF000080"/>
      <rgbColor rgb="FF87A44B"/>
      <rgbColor rgb="FF800080"/>
      <rgbColor rgb="FF3D97AF"/>
      <rgbColor rgb="FFB8CD97"/>
      <rgbColor rgb="FF878787"/>
      <rgbColor rgb="FF93A9CE"/>
      <rgbColor rgb="FFAB4744"/>
      <rgbColor rgb="FFF9F9F9"/>
      <rgbColor rgb="FFEBF5FB"/>
      <rgbColor rgb="FF660066"/>
      <rgbColor rgb="FFDC853E"/>
      <rgbColor rgb="FF666666"/>
      <rgbColor rgb="FFD6E0EC"/>
      <rgbColor rgb="FF000080"/>
      <rgbColor rgb="FFFF00FF"/>
      <rgbColor rgb="FFFFFF00"/>
      <rgbColor rgb="FF00FFFF"/>
      <rgbColor rgb="FF800080"/>
      <rgbColor rgb="FF800000"/>
      <rgbColor rgb="FF4299B0"/>
      <rgbColor rgb="FF0000FF"/>
      <rgbColor rgb="FF8CBFD2"/>
      <rgbColor rgb="FFF5F8FB"/>
      <rgbColor rgb="FFD9D9D9"/>
      <rgbColor rgb="FFB3C992"/>
      <rgbColor rgb="FF92C3D5"/>
      <rgbColor rgb="FFF5B089"/>
      <rgbColor rgb="FFA99BBD"/>
      <rgbColor rgb="FFF8B590"/>
      <rgbColor rgb="FF6F568D"/>
      <rgbColor rgb="FF1AA7C7"/>
      <rgbColor rgb="FF8AA64F"/>
      <rgbColor rgb="FFD09493"/>
      <rgbColor rgb="FFDB8238"/>
      <rgbColor rgb="FFE67E22"/>
      <rgbColor rgb="FF725990"/>
      <rgbColor rgb="FFA596B9"/>
      <rgbColor rgb="FF142850"/>
      <rgbColor rgb="FF1E8449"/>
      <rgbColor rgb="FF003300"/>
      <rgbColor rgb="FF555555"/>
      <rgbColor rgb="FFA93226"/>
      <rgbColor rgb="FF8E44AD"/>
      <rgbColor rgb="FF1A527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Ventas vs Meta (S1)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INICIO!$C$11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1AA7C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INICIO!$B$12:$B$17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INICIO!$C$12:$C$17</c:f>
              <c:numCache>
                <c:formatCode>"$ "#,##0</c:formatCode>
                <c:ptCount val="6"/>
                <c:pt idx="0">
                  <c:v>42000</c:v>
                </c:pt>
                <c:pt idx="1">
                  <c:v>45500</c:v>
                </c:pt>
                <c:pt idx="2">
                  <c:v>41200</c:v>
                </c:pt>
                <c:pt idx="3">
                  <c:v>48000</c:v>
                </c:pt>
                <c:pt idx="4">
                  <c:v>51000</c:v>
                </c:pt>
                <c:pt idx="5">
                  <c:v>49500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E-4479-BB9D-51D33A26FD31}"/>
            </c:ext>
          </c:extLst>
        </c:ser>
        <c:ser>
          <c:idx val="1"/>
          <c:order val="1"/>
          <c:tx>
            <c:strRef>
              <c:f>INICIO!$D$11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1428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INICIO!$B$12:$B$17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INICIO!$D$12:$D$17</c:f>
              <c:numCache>
                <c:formatCode>"$ "#,##0</c:formatCode>
                <c:ptCount val="6"/>
                <c:pt idx="0">
                  <c:v>40000</c:v>
                </c:pt>
                <c:pt idx="1">
                  <c:v>43000</c:v>
                </c:pt>
                <c:pt idx="2">
                  <c:v>43000</c:v>
                </c:pt>
                <c:pt idx="3">
                  <c:v>46000</c:v>
                </c:pt>
                <c:pt idx="4">
                  <c:v>48000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1E-4479-BB9D-51D33A26F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51848"/>
        <c:axId val="41556508"/>
      </c:barChart>
      <c:catAx>
        <c:axId val="2335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41556508"/>
        <c:crosses val="autoZero"/>
        <c:auto val="1"/>
        <c:lblAlgn val="ctr"/>
        <c:lblOffset val="100"/>
        <c:noMultiLvlLbl val="0"/>
      </c:catAx>
      <c:valAx>
        <c:axId val="415565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233518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Eficiencia vs Cumplimiento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520">
              <a:solidFill>
                <a:srgbClr val="1AA7C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PRODUCCION!$C$25:$C$26</c:f>
              <c:numCache>
                <c:formatCode>0.0%</c:formatCode>
                <c:ptCount val="2"/>
                <c:pt idx="0">
                  <c:v>0.94915254237288138</c:v>
                </c:pt>
                <c:pt idx="1">
                  <c:v>0.94915254237288138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6A-4CFF-8D8A-A82292823E03}"/>
            </c:ext>
          </c:extLst>
        </c:ser>
        <c:ser>
          <c:idx val="1"/>
          <c:order val="1"/>
          <c:spPr>
            <a:ln w="47520">
              <a:solidFill>
                <a:srgbClr val="1428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PRODUCCION!$D$25:$D$26</c:f>
              <c:numCache>
                <c:formatCode>0.0%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6A-4CFF-8D8A-A82292823E03}"/>
            </c:ext>
          </c:extLst>
        </c:ser>
        <c:ser>
          <c:idx val="2"/>
          <c:order val="2"/>
          <c:spPr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PRODUCCION!$E$25:$E$26</c:f>
              <c:numCache>
                <c:formatCode>0.0%</c:formatCode>
                <c:ptCount val="2"/>
                <c:pt idx="0">
                  <c:v>0.91077441077441079</c:v>
                </c:pt>
                <c:pt idx="1">
                  <c:v>0.91077441077441079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6A-4CFF-8D8A-A82292823E03}"/>
            </c:ext>
          </c:extLst>
        </c:ser>
        <c:ser>
          <c:idx val="3"/>
          <c:order val="3"/>
          <c:spPr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PRODUCCION!$F$25:$F$26</c:f>
              <c:numCache>
                <c:formatCode>0.0%</c:formatCode>
                <c:ptCount val="2"/>
                <c:pt idx="0">
                  <c:v>0.99523052464228934</c:v>
                </c:pt>
                <c:pt idx="1">
                  <c:v>0.99523052464228934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16A-4CFF-8D8A-A82292823E03}"/>
            </c:ext>
          </c:extLst>
        </c:ser>
        <c:ser>
          <c:idx val="4"/>
          <c:order val="4"/>
          <c:spPr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PRODUCCION!$G$25:$G$26</c:f>
              <c:numCache>
                <c:formatCode>0.0%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16A-4CFF-8D8A-A82292823E03}"/>
            </c:ext>
          </c:extLst>
        </c:ser>
        <c:ser>
          <c:idx val="5"/>
          <c:order val="5"/>
          <c:spPr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PRODUCCION!$H$25:$H$26</c:f>
              <c:numCache>
                <c:formatCode>0.0%</c:formatCode>
                <c:ptCount val="2"/>
                <c:pt idx="0">
                  <c:v>0.98259493670886078</c:v>
                </c:pt>
                <c:pt idx="1">
                  <c:v>0.98259493670886078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16A-4CFF-8D8A-A82292823E03}"/>
            </c:ext>
          </c:extLst>
        </c:ser>
        <c:ser>
          <c:idx val="6"/>
          <c:order val="6"/>
          <c:spPr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PRODUCCION!$I$25:$I$26</c:f>
              <c:numCache>
                <c:formatCode>0.0%</c:formatCode>
                <c:ptCount val="2"/>
                <c:pt idx="0">
                  <c:v>1.0163934426229508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16A-4CFF-8D8A-A82292823E03}"/>
            </c:ext>
          </c:extLst>
        </c:ser>
        <c:ser>
          <c:idx val="7"/>
          <c:order val="7"/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PRODUCCION!$J$25:$J$26</c:f>
              <c:numCache>
                <c:formatCode>0.0%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16A-4CFF-8D8A-A82292823E03}"/>
            </c:ext>
          </c:extLst>
        </c:ser>
        <c:ser>
          <c:idx val="8"/>
          <c:order val="8"/>
          <c:spPr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PRODUCCION!$K$25:$K$26</c:f>
              <c:numCache>
                <c:formatCode>0.0%</c:formatCode>
                <c:ptCount val="2"/>
                <c:pt idx="0">
                  <c:v>0.97928994082840237</c:v>
                </c:pt>
                <c:pt idx="1">
                  <c:v>0.97928994082840237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16A-4CFF-8D8A-A82292823E03}"/>
            </c:ext>
          </c:extLst>
        </c:ser>
        <c:ser>
          <c:idx val="9"/>
          <c:order val="9"/>
          <c:spPr>
            <a:ln w="4752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PRODUCCION!$L$25:$L$26</c:f>
              <c:numCache>
                <c:formatCode>0.0%</c:formatCode>
                <c:ptCount val="2"/>
                <c:pt idx="0">
                  <c:v>1.0013568521031209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16A-4CFF-8D8A-A82292823E03}"/>
            </c:ext>
          </c:extLst>
        </c:ser>
        <c:ser>
          <c:idx val="10"/>
          <c:order val="10"/>
          <c:spPr>
            <a:ln w="4752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PRODUCCION!$M$25:$M$26</c:f>
              <c:numCache>
                <c:formatCode>0.0%</c:formatCode>
                <c:ptCount val="2"/>
                <c:pt idx="0">
                  <c:v>1.0051813471502591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16A-4CFF-8D8A-A82292823E03}"/>
            </c:ext>
          </c:extLst>
        </c:ser>
        <c:ser>
          <c:idx val="11"/>
          <c:order val="11"/>
          <c:spPr>
            <a:ln w="4752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PRODUCCION!$C$21:$N$21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PRODUCCION!$N$25:$N$26</c:f>
              <c:numCache>
                <c:formatCode>0.0%</c:formatCode>
                <c:ptCount val="2"/>
                <c:pt idx="0">
                  <c:v>1.0191082802547771</c:v>
                </c:pt>
                <c:pt idx="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116A-4CFF-8D8A-A82292823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634462"/>
        <c:axId val="19579928"/>
      </c:lineChart>
      <c:catAx>
        <c:axId val="73634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19579928"/>
        <c:crosses val="autoZero"/>
        <c:auto val="1"/>
        <c:lblAlgn val="ctr"/>
        <c:lblOffset val="100"/>
        <c:noMultiLvlLbl val="0"/>
      </c:catAx>
      <c:valAx>
        <c:axId val="195799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Logro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73634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Utilidad Neta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AA7C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FINANZAS!$C$27</c:f>
              <c:numCache>
                <c:formatCode>"$ "#,##0</c:formatCode>
                <c:ptCount val="1"/>
                <c:pt idx="0">
                  <c:v>120500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1-43E2-A490-B3976E1748D2}"/>
            </c:ext>
          </c:extLst>
        </c:ser>
        <c:ser>
          <c:idx val="1"/>
          <c:order val="1"/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FINANZAS!$D$27</c:f>
              <c:numCache>
                <c:formatCode>"$ "#,##0</c:formatCode>
                <c:ptCount val="1"/>
                <c:pt idx="0">
                  <c:v>123100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1-43E2-A490-B3976E1748D2}"/>
            </c:ext>
          </c:extLst>
        </c:ser>
        <c:ser>
          <c:idx val="2"/>
          <c:order val="2"/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FINANZAS!$E$27</c:f>
              <c:numCache>
                <c:formatCode>"$ "#,##0</c:formatCode>
                <c:ptCount val="1"/>
                <c:pt idx="0">
                  <c:v>120600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D1-43E2-A490-B3976E1748D2}"/>
            </c:ext>
          </c:extLst>
        </c:ser>
        <c:ser>
          <c:idx val="3"/>
          <c:order val="3"/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FINANZAS!$F$27</c:f>
              <c:numCache>
                <c:formatCode>"$ "#,##0</c:formatCode>
                <c:ptCount val="1"/>
                <c:pt idx="0">
                  <c:v>133700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D1-43E2-A490-B3976E1748D2}"/>
            </c:ext>
          </c:extLst>
        </c:ser>
        <c:ser>
          <c:idx val="4"/>
          <c:order val="4"/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FINANZAS!$G$27</c:f>
              <c:numCache>
                <c:formatCode>"$ "#,##0</c:formatCode>
                <c:ptCount val="1"/>
                <c:pt idx="0">
                  <c:v>141200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D1-43E2-A490-B3976E1748D2}"/>
            </c:ext>
          </c:extLst>
        </c:ser>
        <c:ser>
          <c:idx val="5"/>
          <c:order val="5"/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FINANZAS!$H$27</c:f>
              <c:numCache>
                <c:formatCode>"$ "#,##0</c:formatCode>
                <c:ptCount val="1"/>
                <c:pt idx="0">
                  <c:v>136000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D1-43E2-A490-B3976E1748D2}"/>
            </c:ext>
          </c:extLst>
        </c:ser>
        <c:ser>
          <c:idx val="6"/>
          <c:order val="6"/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FINANZAS!$I$27</c:f>
              <c:numCache>
                <c:formatCode>"$ "#,##0</c:formatCode>
                <c:ptCount val="1"/>
                <c:pt idx="0">
                  <c:v>143040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D1-43E2-A490-B3976E1748D2}"/>
            </c:ext>
          </c:extLst>
        </c:ser>
        <c:ser>
          <c:idx val="7"/>
          <c:order val="7"/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FINANZAS!$J$27</c:f>
              <c:numCache>
                <c:formatCode>"$ "#,##0</c:formatCode>
                <c:ptCount val="1"/>
                <c:pt idx="0">
                  <c:v>150320.80000000005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D1-43E2-A490-B3976E1748D2}"/>
            </c:ext>
          </c:extLst>
        </c:ser>
        <c:ser>
          <c:idx val="8"/>
          <c:order val="8"/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FINANZAS!$K$27</c:f>
              <c:numCache>
                <c:formatCode>"$ "#,##0</c:formatCode>
                <c:ptCount val="1"/>
                <c:pt idx="0">
                  <c:v>157849.92000000004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D1-43E2-A490-B3976E1748D2}"/>
            </c:ext>
          </c:extLst>
        </c:ser>
        <c:ser>
          <c:idx val="9"/>
          <c:order val="9"/>
          <c:spPr>
            <a:solidFill>
              <a:srgbClr val="A99B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FINANZAS!$L$27</c:f>
              <c:numCache>
                <c:formatCode>"$ "#,##0</c:formatCode>
                <c:ptCount val="1"/>
                <c:pt idx="0">
                  <c:v>165635.10856000005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D1-43E2-A490-B3976E1748D2}"/>
            </c:ext>
          </c:extLst>
        </c:ser>
        <c:ser>
          <c:idx val="10"/>
          <c:order val="10"/>
          <c:spPr>
            <a:solidFill>
              <a:srgbClr val="92C3D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FINANZAS!$M$27</c:f>
              <c:numCache>
                <c:formatCode>"$ "#,##0</c:formatCode>
                <c:ptCount val="1"/>
                <c:pt idx="0">
                  <c:v>173684.34968640003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D1-43E2-A490-B3976E1748D2}"/>
            </c:ext>
          </c:extLst>
        </c:ser>
        <c:ser>
          <c:idx val="11"/>
          <c:order val="11"/>
          <c:spPr>
            <a:solidFill>
              <a:srgbClr val="F8B5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FINANZAS!$C$5:$N$5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FINANZAS!$N$27</c:f>
              <c:numCache>
                <c:formatCode>"$ "#,##0</c:formatCode>
                <c:ptCount val="1"/>
                <c:pt idx="0">
                  <c:v>182005.86992528802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FD1-43E2-A490-B3976E174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79547"/>
        <c:axId val="18166647"/>
      </c:barChart>
      <c:catAx>
        <c:axId val="15479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18166647"/>
        <c:crosses val="autoZero"/>
        <c:auto val="1"/>
        <c:lblAlgn val="ctr"/>
        <c:lblOffset val="100"/>
        <c:noMultiLvlLbl val="0"/>
      </c:catAx>
      <c:valAx>
        <c:axId val="181666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15479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Margen %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RENTABILIDAD!$H$5</c:f>
              <c:strCache>
                <c:ptCount val="1"/>
                <c:pt idx="0">
                  <c:v>Margen %</c:v>
                </c:pt>
              </c:strCache>
            </c:strRef>
          </c:tx>
          <c:spPr>
            <a:solidFill>
              <a:srgbClr val="1AA7C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RENTABILIDAD!$B$6:$B$11</c:f>
              <c:strCache>
                <c:ptCount val="6"/>
                <c:pt idx="0">
                  <c:v>Producto A</c:v>
                </c:pt>
                <c:pt idx="1">
                  <c:v>Producto B</c:v>
                </c:pt>
                <c:pt idx="2">
                  <c:v>Producto C</c:v>
                </c:pt>
                <c:pt idx="3">
                  <c:v>Producto D</c:v>
                </c:pt>
                <c:pt idx="4">
                  <c:v>Producto E</c:v>
                </c:pt>
                <c:pt idx="5">
                  <c:v>Producto F</c:v>
                </c:pt>
              </c:strCache>
            </c:strRef>
          </c:cat>
          <c:val>
            <c:numRef>
              <c:f>RENTABILIDAD!$H$6:$H$11</c:f>
              <c:numCache>
                <c:formatCode>0.0%</c:formatCode>
                <c:ptCount val="6"/>
                <c:pt idx="0">
                  <c:v>0.3352941176470588</c:v>
                </c:pt>
                <c:pt idx="1">
                  <c:v>0.35692307692307695</c:v>
                </c:pt>
                <c:pt idx="2">
                  <c:v>0.32222222222222224</c:v>
                </c:pt>
                <c:pt idx="3">
                  <c:v>0.25624999999999998</c:v>
                </c:pt>
                <c:pt idx="4">
                  <c:v>0.40833333333333333</c:v>
                </c:pt>
                <c:pt idx="5">
                  <c:v>0.20714285714285716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2-40AC-B01A-5FDC6A7E7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90291"/>
        <c:axId val="79992131"/>
      </c:barChart>
      <c:catAx>
        <c:axId val="600902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79992131"/>
        <c:crosses val="autoZero"/>
        <c:auto val="1"/>
        <c:lblAlgn val="ctr"/>
        <c:lblOffset val="100"/>
        <c:noMultiLvlLbl val="0"/>
      </c:catAx>
      <c:valAx>
        <c:axId val="7999213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600902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6</xdr:col>
      <xdr:colOff>105840</xdr:colOff>
      <xdr:row>36</xdr:row>
      <xdr:rowOff>20160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8</xdr:col>
      <xdr:colOff>277200</xdr:colOff>
      <xdr:row>44</xdr:row>
      <xdr:rowOff>27720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7</xdr:col>
      <xdr:colOff>277200</xdr:colOff>
      <xdr:row>49</xdr:row>
      <xdr:rowOff>27720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5</xdr:col>
      <xdr:colOff>966960</xdr:colOff>
      <xdr:row>39</xdr:row>
      <xdr:rowOff>27720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A7C7"/>
  </sheetPr>
  <dimension ref="B1:N59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14" width="14" customWidth="1"/>
  </cols>
  <sheetData>
    <row r="1" spans="2:14" ht="9.75" customHeight="1" x14ac:dyDescent="0.3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2:14" ht="42" customHeight="1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ht="18" customHeight="1" x14ac:dyDescent="0.3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5" customHeight="1" x14ac:dyDescent="0.3"/>
    <row r="5" spans="2:14" ht="13.5" customHeight="1" x14ac:dyDescent="0.3">
      <c r="B5" s="12" t="s">
        <v>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2:14" ht="18" customHeight="1" x14ac:dyDescent="0.3">
      <c r="B6" s="11" t="s">
        <v>3</v>
      </c>
      <c r="C6" s="11"/>
      <c r="D6" s="10" t="s">
        <v>4</v>
      </c>
      <c r="E6" s="10"/>
      <c r="F6" s="9" t="s">
        <v>5</v>
      </c>
      <c r="G6" s="9"/>
      <c r="H6" s="11" t="s">
        <v>6</v>
      </c>
      <c r="I6" s="11"/>
      <c r="J6" s="10" t="s">
        <v>7</v>
      </c>
      <c r="K6" s="10"/>
      <c r="L6" s="9" t="s">
        <v>8</v>
      </c>
      <c r="M6" s="9"/>
    </row>
    <row r="7" spans="2:14" ht="31.5" customHeight="1" x14ac:dyDescent="0.3">
      <c r="B7" s="8">
        <f>PRODUCCION!Q30</f>
        <v>3981000</v>
      </c>
      <c r="C7" s="8"/>
      <c r="D7" s="7">
        <f>FINANZAS!E35</f>
        <v>8.9779139804997179</v>
      </c>
      <c r="E7" s="7"/>
      <c r="F7" s="6">
        <f>RENTABILIDAD!H28</f>
        <v>0.34453333333333336</v>
      </c>
      <c r="G7" s="6"/>
      <c r="H7" s="5">
        <f>PRODUCCION!S9</f>
        <v>0.99005222581447405</v>
      </c>
      <c r="I7" s="5"/>
      <c r="J7" s="7">
        <f>INVENTARIO!F32</f>
        <v>51512.5</v>
      </c>
      <c r="K7" s="7"/>
      <c r="L7" s="4">
        <f>FINANZAS!E38</f>
        <v>1778169.8861984408</v>
      </c>
      <c r="M7" s="4"/>
    </row>
    <row r="8" spans="2:14" ht="19.5" customHeight="1" x14ac:dyDescent="0.3"/>
    <row r="9" spans="2:14" ht="9.75" customHeight="1" x14ac:dyDescent="0.3"/>
    <row r="10" spans="2:14" ht="19.5" customHeight="1" x14ac:dyDescent="0.3">
      <c r="B10" s="3" t="s">
        <v>9</v>
      </c>
      <c r="C10" s="3"/>
      <c r="D10" s="3"/>
      <c r="E10" s="3"/>
      <c r="F10" s="3"/>
      <c r="G10" s="3"/>
      <c r="H10" s="3"/>
      <c r="J10" s="3" t="s">
        <v>10</v>
      </c>
      <c r="K10" s="3"/>
      <c r="L10" s="3"/>
      <c r="M10" s="3"/>
    </row>
    <row r="11" spans="2:14" ht="19.5" customHeight="1" x14ac:dyDescent="0.3">
      <c r="B11" s="16" t="s">
        <v>11</v>
      </c>
      <c r="C11" s="16" t="s">
        <v>12</v>
      </c>
      <c r="D11" s="16" t="s">
        <v>13</v>
      </c>
      <c r="E11" s="16" t="s">
        <v>14</v>
      </c>
      <c r="F11" s="16" t="s">
        <v>15</v>
      </c>
      <c r="G11" s="16" t="s">
        <v>16</v>
      </c>
      <c r="H11" s="16"/>
      <c r="J11" s="16" t="s">
        <v>17</v>
      </c>
      <c r="K11" s="16" t="s">
        <v>18</v>
      </c>
      <c r="L11" s="16" t="s">
        <v>19</v>
      </c>
      <c r="M11" s="16"/>
    </row>
    <row r="12" spans="2:14" ht="18.75" customHeight="1" x14ac:dyDescent="0.3">
      <c r="B12" s="17" t="s">
        <v>20</v>
      </c>
      <c r="C12" s="18">
        <v>42000</v>
      </c>
      <c r="D12" s="18">
        <v>40000</v>
      </c>
      <c r="E12" s="19">
        <f t="shared" ref="E12:E17" si="0">C12-D12</f>
        <v>2000</v>
      </c>
      <c r="F12" s="20">
        <f t="shared" ref="F12:F17" si="1">IF(D12=0,0,(C12-D12)/D12)</f>
        <v>0.05</v>
      </c>
      <c r="G12" s="21" t="str">
        <f t="shared" ref="G12:G17" si="2">IF(C12&gt;=D12,"✔ OK","✘ Bajo")</f>
        <v>✔ OK</v>
      </c>
      <c r="J12" s="22" t="s">
        <v>21</v>
      </c>
      <c r="K12" s="23">
        <f>PRODUCCION!S9</f>
        <v>0.99005222581447405</v>
      </c>
      <c r="L12" s="24" t="str">
        <f>IF(K12&gt;=0.85,"🟢 BIEN",IF(K12&gt;=0.75,"🟡 ALERTA","🔴 CRÍTICO"))</f>
        <v>🟢 BIEN</v>
      </c>
    </row>
    <row r="13" spans="2:14" ht="18.75" customHeight="1" x14ac:dyDescent="0.3">
      <c r="B13" s="17" t="s">
        <v>22</v>
      </c>
      <c r="C13" s="18">
        <v>45500</v>
      </c>
      <c r="D13" s="18">
        <v>43000</v>
      </c>
      <c r="E13" s="19">
        <f t="shared" si="0"/>
        <v>2500</v>
      </c>
      <c r="F13" s="20">
        <f t="shared" si="1"/>
        <v>5.8139534883720929E-2</v>
      </c>
      <c r="G13" s="21" t="str">
        <f t="shared" si="2"/>
        <v>✔ OK</v>
      </c>
      <c r="J13" s="25" t="s">
        <v>23</v>
      </c>
      <c r="K13" s="26">
        <f>RENTABILIDAD!H25</f>
        <v>0.31436093454475805</v>
      </c>
      <c r="L13" s="27" t="str">
        <f>IF(K13&gt;=0.35,"🟢 BIEN",IF(K13&gt;=0.25,"🟡 ALERTA","🔴 CRÍTICO"))</f>
        <v>🟡 ALERTA</v>
      </c>
    </row>
    <row r="14" spans="2:14" ht="18.75" customHeight="1" x14ac:dyDescent="0.3">
      <c r="B14" s="17" t="s">
        <v>24</v>
      </c>
      <c r="C14" s="18">
        <v>41200</v>
      </c>
      <c r="D14" s="18">
        <v>43000</v>
      </c>
      <c r="E14" s="19">
        <f t="shared" si="0"/>
        <v>-1800</v>
      </c>
      <c r="F14" s="20">
        <f t="shared" si="1"/>
        <v>-4.1860465116279069E-2</v>
      </c>
      <c r="G14" s="28" t="str">
        <f t="shared" si="2"/>
        <v>✘ Bajo</v>
      </c>
      <c r="J14" s="22" t="s">
        <v>25</v>
      </c>
      <c r="K14" s="29">
        <f>INVENTARIO!G32</f>
        <v>4.4556395751703981</v>
      </c>
      <c r="L14" s="24" t="str">
        <f>IF(K14&gt;=4,"🟢 BIEN",IF(K14&gt;=2.5,"🟡 ALERTA","🔴 CRÍTICO"))</f>
        <v>🟢 BIEN</v>
      </c>
    </row>
    <row r="15" spans="2:14" ht="18.75" customHeight="1" x14ac:dyDescent="0.3">
      <c r="B15" s="17" t="s">
        <v>26</v>
      </c>
      <c r="C15" s="18">
        <v>48000</v>
      </c>
      <c r="D15" s="18">
        <v>46000</v>
      </c>
      <c r="E15" s="19">
        <f t="shared" si="0"/>
        <v>2000</v>
      </c>
      <c r="F15" s="20">
        <f t="shared" si="1"/>
        <v>4.3478260869565216E-2</v>
      </c>
      <c r="G15" s="21" t="str">
        <f t="shared" si="2"/>
        <v>✔ OK</v>
      </c>
      <c r="J15" s="25" t="s">
        <v>27</v>
      </c>
      <c r="K15" s="30">
        <f>INVENTARIO!H32</f>
        <v>91.25</v>
      </c>
      <c r="L15" s="27" t="str">
        <f>IF(K15&gt;=30,"🟢 BIEN",IF(K15&gt;=15,"🟡 ALERTA","🔴 CRÍTICO"))</f>
        <v>🟢 BIEN</v>
      </c>
    </row>
    <row r="16" spans="2:14" ht="18.75" customHeight="1" x14ac:dyDescent="0.3">
      <c r="B16" s="17" t="s">
        <v>28</v>
      </c>
      <c r="C16" s="18">
        <v>51000</v>
      </c>
      <c r="D16" s="18">
        <v>48000</v>
      </c>
      <c r="E16" s="19">
        <f t="shared" si="0"/>
        <v>3000</v>
      </c>
      <c r="F16" s="20">
        <f t="shared" si="1"/>
        <v>6.25E-2</v>
      </c>
      <c r="G16" s="21" t="str">
        <f t="shared" si="2"/>
        <v>✔ OK</v>
      </c>
      <c r="J16" s="22" t="s">
        <v>29</v>
      </c>
      <c r="K16" s="31">
        <f>FINANZAS!E38</f>
        <v>1778169.8861984408</v>
      </c>
      <c r="L16" s="24" t="str">
        <f>IF(K16&gt;=1,"🟢 BIEN",IF(K16&gt;=0,"🟡 ALERTA","🔴 CRÍTICO"))</f>
        <v>🟢 BIEN</v>
      </c>
    </row>
    <row r="17" spans="2:12" ht="18.75" customHeight="1" x14ac:dyDescent="0.3">
      <c r="B17" s="17" t="s">
        <v>30</v>
      </c>
      <c r="C17" s="18">
        <v>49500</v>
      </c>
      <c r="D17" s="18">
        <v>50000</v>
      </c>
      <c r="E17" s="19">
        <f t="shared" si="0"/>
        <v>-500</v>
      </c>
      <c r="F17" s="20">
        <f t="shared" si="1"/>
        <v>-0.01</v>
      </c>
      <c r="G17" s="28" t="str">
        <f t="shared" si="2"/>
        <v>✘ Bajo</v>
      </c>
      <c r="J17" s="25" t="s">
        <v>31</v>
      </c>
      <c r="K17" s="26">
        <f>PRODUCCION!T9</f>
        <v>0.99005222581447405</v>
      </c>
      <c r="L17" s="27" t="str">
        <f>IF(K17&gt;=0.95,"🟢 BIEN",IF(K17&gt;=0.85,"🟡 ALERTA","🔴 CRÍTICO"))</f>
        <v>🟢 BIEN</v>
      </c>
    </row>
    <row r="18" spans="2:12" ht="19.5" customHeight="1" x14ac:dyDescent="0.3"/>
    <row r="19" spans="2:12" ht="19.5" customHeight="1" x14ac:dyDescent="0.3"/>
    <row r="20" spans="2:12" ht="19.5" customHeight="1" x14ac:dyDescent="0.3"/>
    <row r="21" spans="2:12" ht="19.5" customHeight="1" x14ac:dyDescent="0.3"/>
    <row r="22" spans="2:12" ht="19.5" customHeight="1" x14ac:dyDescent="0.3"/>
    <row r="23" spans="2:12" ht="19.5" customHeight="1" x14ac:dyDescent="0.3"/>
    <row r="24" spans="2:12" ht="19.5" customHeight="1" x14ac:dyDescent="0.3"/>
    <row r="25" spans="2:12" ht="19.5" customHeight="1" x14ac:dyDescent="0.3"/>
    <row r="26" spans="2:12" ht="19.5" customHeight="1" x14ac:dyDescent="0.3"/>
    <row r="27" spans="2:12" ht="19.5" customHeight="1" x14ac:dyDescent="0.3"/>
    <row r="28" spans="2:12" ht="19.5" customHeight="1" x14ac:dyDescent="0.3"/>
    <row r="29" spans="2:12" ht="19.5" customHeight="1" x14ac:dyDescent="0.3"/>
    <row r="30" spans="2:12" ht="19.5" customHeight="1" x14ac:dyDescent="0.3"/>
    <row r="31" spans="2:12" ht="19.5" customHeight="1" x14ac:dyDescent="0.3"/>
    <row r="32" spans="2:12" ht="19.5" customHeight="1" x14ac:dyDescent="0.3"/>
    <row r="33" spans="2:14" ht="19.5" customHeight="1" x14ac:dyDescent="0.3"/>
    <row r="34" spans="2:14" ht="19.5" customHeight="1" x14ac:dyDescent="0.3"/>
    <row r="35" spans="2:14" ht="19.5" customHeight="1" x14ac:dyDescent="0.3"/>
    <row r="36" spans="2:14" ht="19.5" customHeight="1" x14ac:dyDescent="0.3"/>
    <row r="37" spans="2:14" ht="19.5" customHeight="1" x14ac:dyDescent="0.3"/>
    <row r="38" spans="2:14" ht="19.5" customHeight="1" x14ac:dyDescent="0.3"/>
    <row r="39" spans="2:14" ht="19.5" customHeight="1" x14ac:dyDescent="0.3"/>
    <row r="40" spans="2:14" ht="19.5" customHeight="1" x14ac:dyDescent="0.3"/>
    <row r="41" spans="2:14" ht="19.5" customHeight="1" x14ac:dyDescent="0.3"/>
    <row r="42" spans="2:14" ht="19.5" customHeight="1" x14ac:dyDescent="0.3"/>
    <row r="43" spans="2:14" ht="19.5" customHeight="1" x14ac:dyDescent="0.3"/>
    <row r="44" spans="2:14" ht="19.5" customHeight="1" x14ac:dyDescent="0.3"/>
    <row r="45" spans="2:14" ht="13.5" customHeight="1" x14ac:dyDescent="0.3">
      <c r="B45" s="2" t="s">
        <v>32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4" ht="16.5" customHeight="1" x14ac:dyDescent="0.3">
      <c r="B46" s="1" t="s">
        <v>33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16.5" customHeight="1" x14ac:dyDescent="0.3">
      <c r="B47" s="1" t="s">
        <v>34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16.5" customHeight="1" x14ac:dyDescent="0.3">
      <c r="B48" s="1" t="s">
        <v>35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 ht="16.5" customHeight="1" x14ac:dyDescent="0.3">
      <c r="B49" s="1" t="s">
        <v>36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2:14" ht="16.5" customHeight="1" x14ac:dyDescent="0.3">
      <c r="B50" s="1" t="s">
        <v>37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4" ht="19.5" customHeight="1" x14ac:dyDescent="0.3"/>
    <row r="52" spans="2:14" ht="19.5" customHeight="1" x14ac:dyDescent="0.3"/>
    <row r="53" spans="2:14" ht="19.5" customHeight="1" x14ac:dyDescent="0.3"/>
    <row r="54" spans="2:14" ht="19.5" customHeight="1" x14ac:dyDescent="0.3"/>
    <row r="55" spans="2:14" ht="19.5" customHeight="1" x14ac:dyDescent="0.3"/>
    <row r="56" spans="2:14" ht="19.5" customHeight="1" x14ac:dyDescent="0.3"/>
    <row r="57" spans="2:14" ht="19.5" customHeight="1" x14ac:dyDescent="0.3"/>
    <row r="58" spans="2:14" ht="19.5" customHeight="1" x14ac:dyDescent="0.3"/>
    <row r="59" spans="2:14" ht="19.5" customHeight="1" x14ac:dyDescent="0.3"/>
  </sheetData>
  <mergeCells count="23">
    <mergeCell ref="B47:N47"/>
    <mergeCell ref="B48:N48"/>
    <mergeCell ref="B49:N49"/>
    <mergeCell ref="B50:N50"/>
    <mergeCell ref="L7:M7"/>
    <mergeCell ref="B10:H10"/>
    <mergeCell ref="J10:M10"/>
    <mergeCell ref="B45:M45"/>
    <mergeCell ref="B46:N46"/>
    <mergeCell ref="B7:C7"/>
    <mergeCell ref="D7:E7"/>
    <mergeCell ref="F7:G7"/>
    <mergeCell ref="H7:I7"/>
    <mergeCell ref="J7:K7"/>
    <mergeCell ref="B2:N2"/>
    <mergeCell ref="B3:N3"/>
    <mergeCell ref="B5:M5"/>
    <mergeCell ref="B6:C6"/>
    <mergeCell ref="D6:E6"/>
    <mergeCell ref="F6:G6"/>
    <mergeCell ref="H6:I6"/>
    <mergeCell ref="J6:K6"/>
    <mergeCell ref="L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2850"/>
  </sheetPr>
  <dimension ref="B1:T69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22" customWidth="1"/>
    <col min="3" max="20" width="11" customWidth="1"/>
  </cols>
  <sheetData>
    <row r="1" spans="2:20" ht="18.75" customHeight="1" x14ac:dyDescent="0.3"/>
    <row r="2" spans="2:20" ht="18.75" customHeight="1" x14ac:dyDescent="0.3">
      <c r="B2" s="85" t="s">
        <v>38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15"/>
    </row>
    <row r="3" spans="2:20" ht="18.75" customHeight="1" x14ac:dyDescent="0.3"/>
    <row r="4" spans="2:20" ht="18.75" customHeight="1" x14ac:dyDescent="0.3">
      <c r="B4" s="86" t="s">
        <v>39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</row>
    <row r="5" spans="2:20" ht="18.75" customHeight="1" x14ac:dyDescent="0.3">
      <c r="B5" s="32" t="s">
        <v>40</v>
      </c>
      <c r="C5" s="32" t="s">
        <v>20</v>
      </c>
      <c r="D5" s="32" t="s">
        <v>22</v>
      </c>
      <c r="E5" s="32" t="s">
        <v>24</v>
      </c>
      <c r="F5" s="32" t="s">
        <v>26</v>
      </c>
      <c r="G5" s="32" t="s">
        <v>28</v>
      </c>
      <c r="H5" s="32" t="s">
        <v>30</v>
      </c>
      <c r="I5" s="32" t="s">
        <v>41</v>
      </c>
      <c r="J5" s="32" t="s">
        <v>42</v>
      </c>
      <c r="K5" s="32" t="s">
        <v>43</v>
      </c>
      <c r="L5" s="32" t="s">
        <v>44</v>
      </c>
      <c r="M5" s="32" t="s">
        <v>45</v>
      </c>
      <c r="N5" s="32" t="s">
        <v>46</v>
      </c>
      <c r="O5" s="32" t="s">
        <v>47</v>
      </c>
      <c r="P5" s="32" t="s">
        <v>48</v>
      </c>
      <c r="Q5" s="32" t="s">
        <v>49</v>
      </c>
      <c r="R5" s="32" t="s">
        <v>50</v>
      </c>
    </row>
    <row r="6" spans="2:20" ht="19.5" customHeight="1" x14ac:dyDescent="0.3">
      <c r="B6" s="33" t="s">
        <v>51</v>
      </c>
      <c r="C6" s="34">
        <v>1200</v>
      </c>
      <c r="D6" s="34">
        <v>1350</v>
      </c>
      <c r="E6" s="34">
        <v>1100</v>
      </c>
      <c r="F6" s="34">
        <v>1420</v>
      </c>
      <c r="G6" s="34">
        <v>1500</v>
      </c>
      <c r="H6" s="34">
        <v>1380</v>
      </c>
      <c r="I6" s="34">
        <v>1550</v>
      </c>
      <c r="J6" s="34">
        <v>1600</v>
      </c>
      <c r="K6" s="34">
        <v>1480</v>
      </c>
      <c r="L6" s="34">
        <v>1700</v>
      </c>
      <c r="M6" s="34">
        <v>1800</v>
      </c>
      <c r="N6" s="34">
        <v>1850</v>
      </c>
      <c r="O6" s="35">
        <f>SUM(C6:N6)</f>
        <v>17930</v>
      </c>
      <c r="P6" s="36">
        <f>AVERAGE(C6:N6)</f>
        <v>1494.1666666666667</v>
      </c>
    </row>
    <row r="7" spans="2:20" ht="19.5" customHeight="1" x14ac:dyDescent="0.3">
      <c r="B7" s="33" t="s">
        <v>52</v>
      </c>
      <c r="C7" s="34">
        <v>800</v>
      </c>
      <c r="D7" s="34">
        <v>820</v>
      </c>
      <c r="E7" s="34">
        <v>790</v>
      </c>
      <c r="F7" s="34">
        <v>850</v>
      </c>
      <c r="G7" s="34">
        <v>900</v>
      </c>
      <c r="H7" s="34">
        <v>880</v>
      </c>
      <c r="I7" s="34">
        <v>920</v>
      </c>
      <c r="J7" s="34">
        <v>950</v>
      </c>
      <c r="K7" s="34">
        <v>910</v>
      </c>
      <c r="L7" s="34">
        <v>980</v>
      </c>
      <c r="M7" s="34">
        <v>1020</v>
      </c>
      <c r="N7" s="34">
        <v>1050</v>
      </c>
      <c r="O7" s="35">
        <f>SUM(C7:N7)</f>
        <v>10870</v>
      </c>
      <c r="P7" s="36">
        <f>AVERAGE(C7:N7)</f>
        <v>905.83333333333337</v>
      </c>
    </row>
    <row r="8" spans="2:20" ht="19.5" customHeight="1" x14ac:dyDescent="0.3">
      <c r="B8" s="33" t="s">
        <v>53</v>
      </c>
      <c r="C8" s="34">
        <v>500</v>
      </c>
      <c r="D8" s="34">
        <v>480</v>
      </c>
      <c r="E8" s="34">
        <v>520</v>
      </c>
      <c r="F8" s="34">
        <v>540</v>
      </c>
      <c r="G8" s="34">
        <v>560</v>
      </c>
      <c r="H8" s="34">
        <v>530</v>
      </c>
      <c r="I8" s="34">
        <v>580</v>
      </c>
      <c r="J8" s="34">
        <v>600</v>
      </c>
      <c r="K8" s="34">
        <v>570</v>
      </c>
      <c r="L8" s="34">
        <v>620</v>
      </c>
      <c r="M8" s="34">
        <v>650</v>
      </c>
      <c r="N8" s="34">
        <v>680</v>
      </c>
      <c r="O8" s="35">
        <f>SUM(C8:N8)</f>
        <v>6830</v>
      </c>
      <c r="P8" s="36">
        <f>AVERAGE(C8:N8)</f>
        <v>569.16666666666663</v>
      </c>
    </row>
    <row r="9" spans="2:20" ht="19.5" customHeight="1" x14ac:dyDescent="0.3">
      <c r="B9" s="33" t="s">
        <v>54</v>
      </c>
      <c r="C9" s="34">
        <v>300</v>
      </c>
      <c r="D9" s="34">
        <v>310</v>
      </c>
      <c r="E9" s="34">
        <v>295</v>
      </c>
      <c r="F9" s="34">
        <v>320</v>
      </c>
      <c r="G9" s="34">
        <v>340</v>
      </c>
      <c r="H9" s="34">
        <v>315</v>
      </c>
      <c r="I9" s="34">
        <v>360</v>
      </c>
      <c r="J9" s="34">
        <v>370</v>
      </c>
      <c r="K9" s="34">
        <v>350</v>
      </c>
      <c r="L9" s="34">
        <v>390</v>
      </c>
      <c r="M9" s="34">
        <v>410</v>
      </c>
      <c r="N9" s="34">
        <v>420</v>
      </c>
      <c r="O9" s="35">
        <f>SUM(C9:N9)</f>
        <v>4180</v>
      </c>
      <c r="P9" s="36">
        <f>AVERAGE(C9:N9)</f>
        <v>348.33333333333331</v>
      </c>
      <c r="S9" s="37">
        <f>IFERROR(SUM(C22:N22)/MAX(SUM(C23:N23),1),0)</f>
        <v>0.99005222581447405</v>
      </c>
      <c r="T9" s="37">
        <f>IFERROR(MIN(SUM(C22:N22)/SUM(C23:N23),1),0)</f>
        <v>0.99005222581447405</v>
      </c>
    </row>
    <row r="10" spans="2:20" ht="18.75" customHeight="1" x14ac:dyDescent="0.3">
      <c r="B10" s="38" t="s">
        <v>55</v>
      </c>
      <c r="C10" s="39">
        <f t="shared" ref="C10:P10" si="0">SUM(C6:C9)</f>
        <v>2800</v>
      </c>
      <c r="D10" s="39">
        <f t="shared" si="0"/>
        <v>2960</v>
      </c>
      <c r="E10" s="39">
        <f t="shared" si="0"/>
        <v>2705</v>
      </c>
      <c r="F10" s="39">
        <f t="shared" si="0"/>
        <v>3130</v>
      </c>
      <c r="G10" s="39">
        <f t="shared" si="0"/>
        <v>3300</v>
      </c>
      <c r="H10" s="39">
        <f t="shared" si="0"/>
        <v>3105</v>
      </c>
      <c r="I10" s="39">
        <f t="shared" si="0"/>
        <v>3410</v>
      </c>
      <c r="J10" s="39">
        <f t="shared" si="0"/>
        <v>3520</v>
      </c>
      <c r="K10" s="39">
        <f t="shared" si="0"/>
        <v>3310</v>
      </c>
      <c r="L10" s="39">
        <f t="shared" si="0"/>
        <v>3690</v>
      </c>
      <c r="M10" s="39">
        <f t="shared" si="0"/>
        <v>3880</v>
      </c>
      <c r="N10" s="39">
        <f t="shared" si="0"/>
        <v>4000</v>
      </c>
      <c r="O10" s="39">
        <f t="shared" si="0"/>
        <v>39810</v>
      </c>
      <c r="P10" s="39">
        <f t="shared" si="0"/>
        <v>3317.5</v>
      </c>
    </row>
    <row r="11" spans="2:20" ht="18.75" customHeight="1" x14ac:dyDescent="0.3"/>
    <row r="12" spans="2:20" ht="18.75" customHeight="1" x14ac:dyDescent="0.3">
      <c r="B12" s="86" t="s">
        <v>56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</row>
    <row r="13" spans="2:20" ht="18.75" customHeight="1" x14ac:dyDescent="0.3">
      <c r="B13" s="32" t="s">
        <v>40</v>
      </c>
      <c r="C13" s="32" t="s">
        <v>20</v>
      </c>
      <c r="D13" s="32" t="s">
        <v>22</v>
      </c>
      <c r="E13" s="32" t="s">
        <v>24</v>
      </c>
      <c r="F13" s="32" t="s">
        <v>26</v>
      </c>
      <c r="G13" s="32" t="s">
        <v>28</v>
      </c>
      <c r="H13" s="32" t="s">
        <v>30</v>
      </c>
      <c r="I13" s="32" t="s">
        <v>41</v>
      </c>
      <c r="J13" s="32" t="s">
        <v>42</v>
      </c>
      <c r="K13" s="32" t="s">
        <v>43</v>
      </c>
      <c r="L13" s="32" t="s">
        <v>44</v>
      </c>
      <c r="M13" s="32" t="s">
        <v>45</v>
      </c>
      <c r="N13" s="32" t="s">
        <v>46</v>
      </c>
      <c r="O13" s="32" t="s">
        <v>47</v>
      </c>
      <c r="P13" s="32" t="s">
        <v>48</v>
      </c>
      <c r="Q13" s="32" t="s">
        <v>49</v>
      </c>
      <c r="R13" s="32" t="s">
        <v>50</v>
      </c>
    </row>
    <row r="14" spans="2:20" ht="19.5" customHeight="1" x14ac:dyDescent="0.3">
      <c r="B14" s="33" t="s">
        <v>57</v>
      </c>
      <c r="C14" s="34">
        <v>1300</v>
      </c>
      <c r="D14" s="34">
        <v>1300</v>
      </c>
      <c r="E14" s="34">
        <v>1300</v>
      </c>
      <c r="F14" s="34">
        <v>1400</v>
      </c>
      <c r="G14" s="34">
        <v>1500</v>
      </c>
      <c r="H14" s="34">
        <v>1400</v>
      </c>
      <c r="I14" s="34">
        <v>1500</v>
      </c>
      <c r="J14" s="34">
        <v>1600</v>
      </c>
      <c r="K14" s="34">
        <v>1500</v>
      </c>
      <c r="L14" s="34">
        <v>1700</v>
      </c>
      <c r="M14" s="34">
        <v>1800</v>
      </c>
      <c r="N14" s="34">
        <v>1800</v>
      </c>
      <c r="O14" s="40">
        <f>SUM(C14:N14)</f>
        <v>18100</v>
      </c>
    </row>
    <row r="15" spans="2:20" ht="19.5" customHeight="1" x14ac:dyDescent="0.3">
      <c r="B15" s="33" t="s">
        <v>58</v>
      </c>
      <c r="C15" s="34">
        <v>850</v>
      </c>
      <c r="D15" s="34">
        <v>850</v>
      </c>
      <c r="E15" s="34">
        <v>850</v>
      </c>
      <c r="F15" s="34">
        <v>880</v>
      </c>
      <c r="G15" s="34">
        <v>900</v>
      </c>
      <c r="H15" s="34">
        <v>900</v>
      </c>
      <c r="I15" s="34">
        <v>920</v>
      </c>
      <c r="J15" s="34">
        <v>950</v>
      </c>
      <c r="K15" s="34">
        <v>940</v>
      </c>
      <c r="L15" s="34">
        <v>980</v>
      </c>
      <c r="M15" s="34">
        <v>1000</v>
      </c>
      <c r="N15" s="34">
        <v>1050</v>
      </c>
      <c r="O15" s="40">
        <f>SUM(C15:N15)</f>
        <v>11070</v>
      </c>
    </row>
    <row r="16" spans="2:20" ht="19.5" customHeight="1" x14ac:dyDescent="0.3">
      <c r="B16" s="33" t="s">
        <v>59</v>
      </c>
      <c r="C16" s="34">
        <v>500</v>
      </c>
      <c r="D16" s="34">
        <v>500</v>
      </c>
      <c r="E16" s="34">
        <v>520</v>
      </c>
      <c r="F16" s="34">
        <v>540</v>
      </c>
      <c r="G16" s="34">
        <v>560</v>
      </c>
      <c r="H16" s="34">
        <v>540</v>
      </c>
      <c r="I16" s="34">
        <v>580</v>
      </c>
      <c r="J16" s="34">
        <v>600</v>
      </c>
      <c r="K16" s="34">
        <v>580</v>
      </c>
      <c r="L16" s="34">
        <v>620</v>
      </c>
      <c r="M16" s="34">
        <v>650</v>
      </c>
      <c r="N16" s="34">
        <v>660</v>
      </c>
      <c r="O16" s="40">
        <f>SUM(C16:N16)</f>
        <v>6850</v>
      </c>
    </row>
    <row r="17" spans="2:19" ht="19.5" customHeight="1" x14ac:dyDescent="0.3">
      <c r="B17" s="33" t="s">
        <v>60</v>
      </c>
      <c r="C17" s="34">
        <v>300</v>
      </c>
      <c r="D17" s="34">
        <v>310</v>
      </c>
      <c r="E17" s="34">
        <v>300</v>
      </c>
      <c r="F17" s="34">
        <v>325</v>
      </c>
      <c r="G17" s="34">
        <v>340</v>
      </c>
      <c r="H17" s="34">
        <v>320</v>
      </c>
      <c r="I17" s="34">
        <v>355</v>
      </c>
      <c r="J17" s="34">
        <v>370</v>
      </c>
      <c r="K17" s="34">
        <v>360</v>
      </c>
      <c r="L17" s="34">
        <v>385</v>
      </c>
      <c r="M17" s="34">
        <v>410</v>
      </c>
      <c r="N17" s="34">
        <v>415</v>
      </c>
      <c r="O17" s="40">
        <f>SUM(C17:N17)</f>
        <v>4190</v>
      </c>
    </row>
    <row r="18" spans="2:19" ht="18.75" customHeight="1" x14ac:dyDescent="0.3"/>
    <row r="19" spans="2:19" ht="18.75" customHeight="1" x14ac:dyDescent="0.3"/>
    <row r="20" spans="2:19" ht="18.75" customHeight="1" x14ac:dyDescent="0.3">
      <c r="B20" s="3" t="s">
        <v>61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2:19" ht="18.75" customHeight="1" x14ac:dyDescent="0.3">
      <c r="B21" s="16" t="s">
        <v>40</v>
      </c>
      <c r="C21" s="16" t="s">
        <v>20</v>
      </c>
      <c r="D21" s="16" t="s">
        <v>22</v>
      </c>
      <c r="E21" s="16" t="s">
        <v>24</v>
      </c>
      <c r="F21" s="16" t="s">
        <v>26</v>
      </c>
      <c r="G21" s="16" t="s">
        <v>28</v>
      </c>
      <c r="H21" s="16" t="s">
        <v>30</v>
      </c>
      <c r="I21" s="16" t="s">
        <v>41</v>
      </c>
      <c r="J21" s="16" t="s">
        <v>42</v>
      </c>
      <c r="K21" s="16" t="s">
        <v>43</v>
      </c>
      <c r="L21" s="16" t="s">
        <v>44</v>
      </c>
      <c r="M21" s="16" t="s">
        <v>45</v>
      </c>
      <c r="N21" s="16" t="s">
        <v>46</v>
      </c>
      <c r="O21" s="16" t="s">
        <v>47</v>
      </c>
      <c r="P21" s="16" t="s">
        <v>48</v>
      </c>
      <c r="Q21" s="16" t="s">
        <v>49</v>
      </c>
      <c r="R21" s="16" t="s">
        <v>50</v>
      </c>
    </row>
    <row r="22" spans="2:19" ht="19.5" customHeight="1" x14ac:dyDescent="0.3">
      <c r="B22" s="41" t="s">
        <v>62</v>
      </c>
      <c r="C22" s="36">
        <f t="shared" ref="C22:N22" si="1">C10</f>
        <v>2800</v>
      </c>
      <c r="D22" s="36">
        <f t="shared" si="1"/>
        <v>2960</v>
      </c>
      <c r="E22" s="36">
        <f t="shared" si="1"/>
        <v>2705</v>
      </c>
      <c r="F22" s="36">
        <f t="shared" si="1"/>
        <v>3130</v>
      </c>
      <c r="G22" s="36">
        <f t="shared" si="1"/>
        <v>3300</v>
      </c>
      <c r="H22" s="36">
        <f t="shared" si="1"/>
        <v>3105</v>
      </c>
      <c r="I22" s="36">
        <f t="shared" si="1"/>
        <v>3410</v>
      </c>
      <c r="J22" s="36">
        <f t="shared" si="1"/>
        <v>3520</v>
      </c>
      <c r="K22" s="36">
        <f t="shared" si="1"/>
        <v>3310</v>
      </c>
      <c r="L22" s="36">
        <f t="shared" si="1"/>
        <v>3690</v>
      </c>
      <c r="M22" s="36">
        <f t="shared" si="1"/>
        <v>3880</v>
      </c>
      <c r="N22" s="36">
        <f t="shared" si="1"/>
        <v>4000</v>
      </c>
      <c r="O22" s="36">
        <f>SUM(C22:N22)</f>
        <v>39810</v>
      </c>
    </row>
    <row r="23" spans="2:19" ht="19.5" customHeight="1" x14ac:dyDescent="0.3">
      <c r="B23" s="42" t="s">
        <v>63</v>
      </c>
      <c r="C23" s="36">
        <f t="shared" ref="C23:N23" si="2">SUM(C14:C17)</f>
        <v>2950</v>
      </c>
      <c r="D23" s="36">
        <f t="shared" si="2"/>
        <v>2960</v>
      </c>
      <c r="E23" s="36">
        <f t="shared" si="2"/>
        <v>2970</v>
      </c>
      <c r="F23" s="36">
        <f t="shared" si="2"/>
        <v>3145</v>
      </c>
      <c r="G23" s="36">
        <f t="shared" si="2"/>
        <v>3300</v>
      </c>
      <c r="H23" s="36">
        <f t="shared" si="2"/>
        <v>3160</v>
      </c>
      <c r="I23" s="36">
        <f t="shared" si="2"/>
        <v>3355</v>
      </c>
      <c r="J23" s="36">
        <f t="shared" si="2"/>
        <v>3520</v>
      </c>
      <c r="K23" s="36">
        <f t="shared" si="2"/>
        <v>3380</v>
      </c>
      <c r="L23" s="36">
        <f t="shared" si="2"/>
        <v>3685</v>
      </c>
      <c r="M23" s="36">
        <f t="shared" si="2"/>
        <v>3860</v>
      </c>
      <c r="N23" s="36">
        <f t="shared" si="2"/>
        <v>3925</v>
      </c>
      <c r="O23" s="36">
        <f>SUM(C23:N23)</f>
        <v>40210</v>
      </c>
    </row>
    <row r="24" spans="2:19" ht="19.5" customHeight="1" x14ac:dyDescent="0.3">
      <c r="B24" s="41" t="s">
        <v>64</v>
      </c>
      <c r="C24" s="36">
        <f t="shared" ref="C24:N24" si="3">C22-C23</f>
        <v>-150</v>
      </c>
      <c r="D24" s="36">
        <f t="shared" si="3"/>
        <v>0</v>
      </c>
      <c r="E24" s="36">
        <f t="shared" si="3"/>
        <v>-265</v>
      </c>
      <c r="F24" s="36">
        <f t="shared" si="3"/>
        <v>-15</v>
      </c>
      <c r="G24" s="36">
        <f t="shared" si="3"/>
        <v>0</v>
      </c>
      <c r="H24" s="36">
        <f t="shared" si="3"/>
        <v>-55</v>
      </c>
      <c r="I24" s="36">
        <f t="shared" si="3"/>
        <v>55</v>
      </c>
      <c r="J24" s="36">
        <f t="shared" si="3"/>
        <v>0</v>
      </c>
      <c r="K24" s="36">
        <f t="shared" si="3"/>
        <v>-70</v>
      </c>
      <c r="L24" s="36">
        <f t="shared" si="3"/>
        <v>5</v>
      </c>
      <c r="M24" s="36">
        <f t="shared" si="3"/>
        <v>20</v>
      </c>
      <c r="N24" s="36">
        <f t="shared" si="3"/>
        <v>75</v>
      </c>
      <c r="O24" s="36">
        <f>SUM(C24:N24)</f>
        <v>-400</v>
      </c>
    </row>
    <row r="25" spans="2:19" ht="19.5" customHeight="1" x14ac:dyDescent="0.3">
      <c r="B25" s="43" t="s">
        <v>65</v>
      </c>
      <c r="C25" s="44">
        <f t="shared" ref="C25:N25" si="4">IFERROR(C22/MAX(C23,1),0)</f>
        <v>0.94915254237288138</v>
      </c>
      <c r="D25" s="44">
        <f t="shared" si="4"/>
        <v>1</v>
      </c>
      <c r="E25" s="44">
        <f t="shared" si="4"/>
        <v>0.91077441077441079</v>
      </c>
      <c r="F25" s="44">
        <f t="shared" si="4"/>
        <v>0.99523052464228934</v>
      </c>
      <c r="G25" s="44">
        <f t="shared" si="4"/>
        <v>1</v>
      </c>
      <c r="H25" s="44">
        <f t="shared" si="4"/>
        <v>0.98259493670886078</v>
      </c>
      <c r="I25" s="44">
        <f t="shared" si="4"/>
        <v>1.0163934426229508</v>
      </c>
      <c r="J25" s="44">
        <f t="shared" si="4"/>
        <v>1</v>
      </c>
      <c r="K25" s="44">
        <f t="shared" si="4"/>
        <v>0.97928994082840237</v>
      </c>
      <c r="L25" s="44">
        <f t="shared" si="4"/>
        <v>1.0013568521031209</v>
      </c>
      <c r="M25" s="44">
        <f t="shared" si="4"/>
        <v>1.0051813471502591</v>
      </c>
      <c r="N25" s="44">
        <f t="shared" si="4"/>
        <v>1.0191082802547771</v>
      </c>
      <c r="O25" s="45">
        <f>AVERAGE(C25:N25)</f>
        <v>0.98825685645482952</v>
      </c>
    </row>
    <row r="26" spans="2:19" ht="19.5" customHeight="1" x14ac:dyDescent="0.3">
      <c r="B26" s="33" t="s">
        <v>66</v>
      </c>
      <c r="C26" s="44">
        <f t="shared" ref="C26:N26" si="5">IFERROR(MIN(C22/C23,1),0)</f>
        <v>0.94915254237288138</v>
      </c>
      <c r="D26" s="44">
        <f t="shared" si="5"/>
        <v>1</v>
      </c>
      <c r="E26" s="44">
        <f t="shared" si="5"/>
        <v>0.91077441077441079</v>
      </c>
      <c r="F26" s="44">
        <f t="shared" si="5"/>
        <v>0.99523052464228934</v>
      </c>
      <c r="G26" s="44">
        <f t="shared" si="5"/>
        <v>1</v>
      </c>
      <c r="H26" s="44">
        <f t="shared" si="5"/>
        <v>0.98259493670886078</v>
      </c>
      <c r="I26" s="44">
        <f t="shared" si="5"/>
        <v>1</v>
      </c>
      <c r="J26" s="44">
        <f t="shared" si="5"/>
        <v>1</v>
      </c>
      <c r="K26" s="44">
        <f t="shared" si="5"/>
        <v>0.97928994082840237</v>
      </c>
      <c r="L26" s="44">
        <f t="shared" si="5"/>
        <v>1</v>
      </c>
      <c r="M26" s="44">
        <f t="shared" si="5"/>
        <v>1</v>
      </c>
      <c r="N26" s="44">
        <f t="shared" si="5"/>
        <v>1</v>
      </c>
      <c r="O26" s="45">
        <f>AVERAGE(C26:N26)</f>
        <v>0.98475352961057039</v>
      </c>
    </row>
    <row r="27" spans="2:19" ht="18.75" customHeight="1" x14ac:dyDescent="0.3"/>
    <row r="28" spans="2:19" ht="18.75" customHeight="1" x14ac:dyDescent="0.3"/>
    <row r="29" spans="2:19" ht="18.75" customHeight="1" x14ac:dyDescent="0.3"/>
    <row r="30" spans="2:19" ht="18.75" customHeight="1" x14ac:dyDescent="0.3">
      <c r="Q30" s="46">
        <f>O10*100</f>
        <v>3981000</v>
      </c>
    </row>
    <row r="31" spans="2:19" ht="18.75" customHeight="1" x14ac:dyDescent="0.3"/>
    <row r="32" spans="2:19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</sheetData>
  <mergeCells count="4">
    <mergeCell ref="B2:S2"/>
    <mergeCell ref="B4:S4"/>
    <mergeCell ref="B12:S12"/>
    <mergeCell ref="B20:S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B1:N69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28" customWidth="1"/>
    <col min="3" max="15" width="12" customWidth="1"/>
  </cols>
  <sheetData>
    <row r="1" spans="2:14" ht="18.75" customHeight="1" x14ac:dyDescent="0.3"/>
    <row r="2" spans="2:14" ht="18.75" customHeight="1" x14ac:dyDescent="0.3">
      <c r="B2" s="85" t="s">
        <v>67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2:14" ht="18.75" customHeight="1" x14ac:dyDescent="0.3"/>
    <row r="4" spans="2:14" ht="18.75" customHeight="1" x14ac:dyDescent="0.3">
      <c r="B4" s="86" t="s">
        <v>68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</row>
    <row r="5" spans="2:14" ht="18.75" customHeight="1" x14ac:dyDescent="0.3">
      <c r="B5" s="32" t="s">
        <v>69</v>
      </c>
      <c r="C5" s="32" t="s">
        <v>20</v>
      </c>
      <c r="D5" s="32" t="s">
        <v>22</v>
      </c>
      <c r="E5" s="32" t="s">
        <v>24</v>
      </c>
      <c r="F5" s="32" t="s">
        <v>26</v>
      </c>
      <c r="G5" s="32" t="s">
        <v>28</v>
      </c>
      <c r="H5" s="32" t="s">
        <v>30</v>
      </c>
      <c r="I5" s="32" t="s">
        <v>41</v>
      </c>
      <c r="J5" s="32" t="s">
        <v>42</v>
      </c>
      <c r="K5" s="32" t="s">
        <v>43</v>
      </c>
      <c r="L5" s="32" t="s">
        <v>44</v>
      </c>
      <c r="M5" s="32" t="s">
        <v>45</v>
      </c>
      <c r="N5" s="32" t="s">
        <v>46</v>
      </c>
    </row>
    <row r="6" spans="2:14" ht="19.5" customHeight="1" x14ac:dyDescent="0.3">
      <c r="B6" s="47" t="s">
        <v>70</v>
      </c>
      <c r="C6" s="48">
        <v>120000</v>
      </c>
      <c r="D6" s="48">
        <v>132000</v>
      </c>
      <c r="E6" s="48">
        <v>115000</v>
      </c>
      <c r="F6" s="48">
        <v>140000</v>
      </c>
      <c r="G6" s="48">
        <v>150000</v>
      </c>
      <c r="H6" s="48">
        <v>138000</v>
      </c>
      <c r="I6" s="19">
        <f t="shared" ref="I6:N9" si="0">H6*1.03</f>
        <v>142140</v>
      </c>
      <c r="J6" s="19">
        <f t="shared" si="0"/>
        <v>146404.20000000001</v>
      </c>
      <c r="K6" s="19">
        <f t="shared" si="0"/>
        <v>150796.32600000003</v>
      </c>
      <c r="L6" s="19">
        <f t="shared" si="0"/>
        <v>155320.21578000003</v>
      </c>
      <c r="M6" s="19">
        <f t="shared" si="0"/>
        <v>159979.82225340002</v>
      </c>
      <c r="N6" s="19">
        <f t="shared" si="0"/>
        <v>164779.21692100202</v>
      </c>
    </row>
    <row r="7" spans="2:14" ht="19.5" customHeight="1" x14ac:dyDescent="0.3">
      <c r="B7" s="47" t="s">
        <v>71</v>
      </c>
      <c r="C7" s="48">
        <v>80000</v>
      </c>
      <c r="D7" s="48">
        <v>82000</v>
      </c>
      <c r="E7" s="48">
        <v>79000</v>
      </c>
      <c r="F7" s="48">
        <v>85000</v>
      </c>
      <c r="G7" s="48">
        <v>90000</v>
      </c>
      <c r="H7" s="48">
        <v>88000</v>
      </c>
      <c r="I7" s="19">
        <f t="shared" si="0"/>
        <v>90640</v>
      </c>
      <c r="J7" s="19">
        <f t="shared" si="0"/>
        <v>93359.2</v>
      </c>
      <c r="K7" s="19">
        <f t="shared" si="0"/>
        <v>96159.975999999995</v>
      </c>
      <c r="L7" s="19">
        <f t="shared" si="0"/>
        <v>99044.775280000002</v>
      </c>
      <c r="M7" s="19">
        <f t="shared" si="0"/>
        <v>102016.1185384</v>
      </c>
      <c r="N7" s="19">
        <f t="shared" si="0"/>
        <v>105076.602094552</v>
      </c>
    </row>
    <row r="8" spans="2:14" ht="19.5" customHeight="1" x14ac:dyDescent="0.3">
      <c r="B8" s="47" t="s">
        <v>72</v>
      </c>
      <c r="C8" s="48">
        <v>50000</v>
      </c>
      <c r="D8" s="48">
        <v>48000</v>
      </c>
      <c r="E8" s="48">
        <v>52000</v>
      </c>
      <c r="F8" s="48">
        <v>54000</v>
      </c>
      <c r="G8" s="48">
        <v>56000</v>
      </c>
      <c r="H8" s="48">
        <v>53000</v>
      </c>
      <c r="I8" s="19">
        <f t="shared" si="0"/>
        <v>54590</v>
      </c>
      <c r="J8" s="19">
        <f t="shared" si="0"/>
        <v>56227.700000000004</v>
      </c>
      <c r="K8" s="19">
        <f t="shared" si="0"/>
        <v>57914.531000000003</v>
      </c>
      <c r="L8" s="19">
        <f t="shared" si="0"/>
        <v>59651.966930000002</v>
      </c>
      <c r="M8" s="19">
        <f t="shared" si="0"/>
        <v>61441.525937900005</v>
      </c>
      <c r="N8" s="19">
        <f t="shared" si="0"/>
        <v>63284.771716037008</v>
      </c>
    </row>
    <row r="9" spans="2:14" ht="19.5" customHeight="1" x14ac:dyDescent="0.3">
      <c r="B9" s="47" t="s">
        <v>73</v>
      </c>
      <c r="C9" s="48">
        <v>5000</v>
      </c>
      <c r="D9" s="48">
        <v>5000</v>
      </c>
      <c r="E9" s="48">
        <v>5000</v>
      </c>
      <c r="F9" s="48">
        <v>5000</v>
      </c>
      <c r="G9" s="48">
        <v>5000</v>
      </c>
      <c r="H9" s="48">
        <v>5000</v>
      </c>
      <c r="I9" s="19">
        <f t="shared" si="0"/>
        <v>5150</v>
      </c>
      <c r="J9" s="19">
        <f t="shared" si="0"/>
        <v>5304.5</v>
      </c>
      <c r="K9" s="19">
        <f t="shared" si="0"/>
        <v>5463.6350000000002</v>
      </c>
      <c r="L9" s="19">
        <f t="shared" si="0"/>
        <v>5627.5440500000004</v>
      </c>
      <c r="M9" s="19">
        <f t="shared" si="0"/>
        <v>5796.3703715000001</v>
      </c>
      <c r="N9" s="19">
        <f t="shared" si="0"/>
        <v>5970.2614826449999</v>
      </c>
    </row>
    <row r="10" spans="2:14" ht="18.75" customHeight="1" x14ac:dyDescent="0.3">
      <c r="B10" s="49" t="s">
        <v>74</v>
      </c>
      <c r="C10" s="50">
        <f t="shared" ref="C10:N10" si="1">SUM(C6:C9)</f>
        <v>255000</v>
      </c>
      <c r="D10" s="50">
        <f t="shared" si="1"/>
        <v>267000</v>
      </c>
      <c r="E10" s="50">
        <f t="shared" si="1"/>
        <v>251000</v>
      </c>
      <c r="F10" s="50">
        <f t="shared" si="1"/>
        <v>284000</v>
      </c>
      <c r="G10" s="50">
        <f t="shared" si="1"/>
        <v>301000</v>
      </c>
      <c r="H10" s="50">
        <f t="shared" si="1"/>
        <v>284000</v>
      </c>
      <c r="I10" s="50">
        <f t="shared" si="1"/>
        <v>292520</v>
      </c>
      <c r="J10" s="50">
        <f t="shared" si="1"/>
        <v>301295.60000000003</v>
      </c>
      <c r="K10" s="50">
        <f t="shared" si="1"/>
        <v>310334.46800000005</v>
      </c>
      <c r="L10" s="50">
        <f t="shared" si="1"/>
        <v>319644.50204000005</v>
      </c>
      <c r="M10" s="50">
        <f t="shared" si="1"/>
        <v>329233.83710120001</v>
      </c>
      <c r="N10" s="50">
        <f t="shared" si="1"/>
        <v>339110.85221423605</v>
      </c>
    </row>
    <row r="11" spans="2:14" ht="18.75" customHeight="1" x14ac:dyDescent="0.3"/>
    <row r="12" spans="2:14" ht="18.75" customHeight="1" x14ac:dyDescent="0.3">
      <c r="B12" s="86" t="s">
        <v>75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</row>
    <row r="13" spans="2:14" ht="18.75" customHeight="1" x14ac:dyDescent="0.3">
      <c r="B13" s="32" t="s">
        <v>69</v>
      </c>
      <c r="C13" s="32" t="s">
        <v>20</v>
      </c>
      <c r="D13" s="32" t="s">
        <v>22</v>
      </c>
      <c r="E13" s="32" t="s">
        <v>24</v>
      </c>
      <c r="F13" s="32" t="s">
        <v>26</v>
      </c>
      <c r="G13" s="32" t="s">
        <v>28</v>
      </c>
      <c r="H13" s="32" t="s">
        <v>30</v>
      </c>
      <c r="I13" s="32" t="s">
        <v>41</v>
      </c>
      <c r="J13" s="32" t="s">
        <v>42</v>
      </c>
      <c r="K13" s="32" t="s">
        <v>43</v>
      </c>
      <c r="L13" s="32" t="s">
        <v>44</v>
      </c>
      <c r="M13" s="32" t="s">
        <v>45</v>
      </c>
      <c r="N13" s="32" t="s">
        <v>46</v>
      </c>
    </row>
    <row r="14" spans="2:14" ht="19.5" customHeight="1" x14ac:dyDescent="0.3">
      <c r="B14" s="41" t="s">
        <v>76</v>
      </c>
      <c r="C14" s="48">
        <v>65000</v>
      </c>
      <c r="D14" s="48">
        <v>71000</v>
      </c>
      <c r="E14" s="48">
        <v>62000</v>
      </c>
      <c r="F14" s="48">
        <v>75000</v>
      </c>
      <c r="G14" s="48">
        <v>81000</v>
      </c>
      <c r="H14" s="48">
        <v>74000</v>
      </c>
      <c r="I14" s="19">
        <f t="shared" ref="I14:N20" si="2">H14*1.01</f>
        <v>74740</v>
      </c>
      <c r="J14" s="19">
        <f t="shared" si="2"/>
        <v>75487.399999999994</v>
      </c>
      <c r="K14" s="19">
        <f t="shared" si="2"/>
        <v>76242.27399999999</v>
      </c>
      <c r="L14" s="19">
        <f t="shared" si="2"/>
        <v>77004.696739999985</v>
      </c>
      <c r="M14" s="19">
        <f t="shared" si="2"/>
        <v>77774.74370739999</v>
      </c>
      <c r="N14" s="19">
        <f t="shared" si="2"/>
        <v>78552.491144473985</v>
      </c>
    </row>
    <row r="15" spans="2:14" ht="19.5" customHeight="1" x14ac:dyDescent="0.3">
      <c r="B15" s="42" t="s">
        <v>77</v>
      </c>
      <c r="C15" s="48">
        <v>30000</v>
      </c>
      <c r="D15" s="48">
        <v>33000</v>
      </c>
      <c r="E15" s="48">
        <v>29000</v>
      </c>
      <c r="F15" s="48">
        <v>35000</v>
      </c>
      <c r="G15" s="48">
        <v>38000</v>
      </c>
      <c r="H15" s="48">
        <v>34000</v>
      </c>
      <c r="I15" s="19">
        <f t="shared" si="2"/>
        <v>34340</v>
      </c>
      <c r="J15" s="19">
        <f t="shared" si="2"/>
        <v>34683.4</v>
      </c>
      <c r="K15" s="19">
        <f t="shared" si="2"/>
        <v>35030.234000000004</v>
      </c>
      <c r="L15" s="19">
        <f t="shared" si="2"/>
        <v>35380.536340000006</v>
      </c>
      <c r="M15" s="19">
        <f t="shared" si="2"/>
        <v>35734.341703400009</v>
      </c>
      <c r="N15" s="19">
        <f t="shared" si="2"/>
        <v>36091.685120434006</v>
      </c>
    </row>
    <row r="16" spans="2:14" ht="19.5" customHeight="1" x14ac:dyDescent="0.3">
      <c r="B16" s="41" t="s">
        <v>78</v>
      </c>
      <c r="C16" s="48">
        <v>18000</v>
      </c>
      <c r="D16" s="48">
        <v>18000</v>
      </c>
      <c r="E16" s="48">
        <v>18000</v>
      </c>
      <c r="F16" s="48">
        <v>18000</v>
      </c>
      <c r="G16" s="48">
        <v>18000</v>
      </c>
      <c r="H16" s="48">
        <v>18000</v>
      </c>
      <c r="I16" s="19">
        <f t="shared" si="2"/>
        <v>18180</v>
      </c>
      <c r="J16" s="19">
        <f t="shared" si="2"/>
        <v>18361.8</v>
      </c>
      <c r="K16" s="19">
        <f t="shared" si="2"/>
        <v>18545.417999999998</v>
      </c>
      <c r="L16" s="19">
        <f t="shared" si="2"/>
        <v>18730.872179999998</v>
      </c>
      <c r="M16" s="19">
        <f t="shared" si="2"/>
        <v>18918.180901799999</v>
      </c>
      <c r="N16" s="19">
        <f t="shared" si="2"/>
        <v>19107.362710817997</v>
      </c>
    </row>
    <row r="17" spans="2:14" ht="19.5" customHeight="1" x14ac:dyDescent="0.3">
      <c r="B17" s="42" t="s">
        <v>79</v>
      </c>
      <c r="C17" s="48">
        <v>8000</v>
      </c>
      <c r="D17" s="48">
        <v>8200</v>
      </c>
      <c r="E17" s="48">
        <v>8100</v>
      </c>
      <c r="F17" s="48">
        <v>8300</v>
      </c>
      <c r="G17" s="48">
        <v>8500</v>
      </c>
      <c r="H17" s="48">
        <v>8200</v>
      </c>
      <c r="I17" s="19">
        <f t="shared" si="2"/>
        <v>8282</v>
      </c>
      <c r="J17" s="19">
        <f t="shared" si="2"/>
        <v>8364.82</v>
      </c>
      <c r="K17" s="19">
        <f t="shared" si="2"/>
        <v>8448.4681999999993</v>
      </c>
      <c r="L17" s="19">
        <f t="shared" si="2"/>
        <v>8532.9528819999996</v>
      </c>
      <c r="M17" s="19">
        <f t="shared" si="2"/>
        <v>8618.2824108200002</v>
      </c>
      <c r="N17" s="19">
        <f t="shared" si="2"/>
        <v>8704.4652349282005</v>
      </c>
    </row>
    <row r="18" spans="2:14" ht="19.5" customHeight="1" x14ac:dyDescent="0.3">
      <c r="B18" s="41" t="s">
        <v>80</v>
      </c>
      <c r="C18" s="48">
        <v>6000</v>
      </c>
      <c r="D18" s="48">
        <v>6000</v>
      </c>
      <c r="E18" s="48">
        <v>6000</v>
      </c>
      <c r="F18" s="48">
        <v>6000</v>
      </c>
      <c r="G18" s="48">
        <v>6000</v>
      </c>
      <c r="H18" s="48">
        <v>6000</v>
      </c>
      <c r="I18" s="19">
        <f t="shared" si="2"/>
        <v>6060</v>
      </c>
      <c r="J18" s="19">
        <f t="shared" si="2"/>
        <v>6120.6</v>
      </c>
      <c r="K18" s="19">
        <f t="shared" si="2"/>
        <v>6181.8060000000005</v>
      </c>
      <c r="L18" s="19">
        <f t="shared" si="2"/>
        <v>6243.624060000001</v>
      </c>
      <c r="M18" s="19">
        <f t="shared" si="2"/>
        <v>6306.060300600001</v>
      </c>
      <c r="N18" s="19">
        <f t="shared" si="2"/>
        <v>6369.1209036060009</v>
      </c>
    </row>
    <row r="19" spans="2:14" ht="19.5" customHeight="1" x14ac:dyDescent="0.3">
      <c r="B19" s="42" t="s">
        <v>81</v>
      </c>
      <c r="C19" s="48">
        <v>5000</v>
      </c>
      <c r="D19" s="48">
        <v>5200</v>
      </c>
      <c r="E19" s="48">
        <v>4800</v>
      </c>
      <c r="F19" s="48">
        <v>5500</v>
      </c>
      <c r="G19" s="48">
        <v>5800</v>
      </c>
      <c r="H19" s="48">
        <v>5300</v>
      </c>
      <c r="I19" s="19">
        <f t="shared" si="2"/>
        <v>5353</v>
      </c>
      <c r="J19" s="19">
        <f t="shared" si="2"/>
        <v>5406.53</v>
      </c>
      <c r="K19" s="19">
        <f t="shared" si="2"/>
        <v>5460.5953</v>
      </c>
      <c r="L19" s="19">
        <f t="shared" si="2"/>
        <v>5515.2012530000002</v>
      </c>
      <c r="M19" s="19">
        <f t="shared" si="2"/>
        <v>5570.3532655300005</v>
      </c>
      <c r="N19" s="19">
        <f t="shared" si="2"/>
        <v>5626.056798185301</v>
      </c>
    </row>
    <row r="20" spans="2:14" ht="19.5" customHeight="1" x14ac:dyDescent="0.3">
      <c r="B20" s="41" t="s">
        <v>82</v>
      </c>
      <c r="C20" s="48">
        <v>2500</v>
      </c>
      <c r="D20" s="48">
        <v>2500</v>
      </c>
      <c r="E20" s="48">
        <v>2500</v>
      </c>
      <c r="F20" s="48">
        <v>2500</v>
      </c>
      <c r="G20" s="48">
        <v>2500</v>
      </c>
      <c r="H20" s="48">
        <v>2500</v>
      </c>
      <c r="I20" s="19">
        <f t="shared" si="2"/>
        <v>2525</v>
      </c>
      <c r="J20" s="19">
        <f t="shared" si="2"/>
        <v>2550.25</v>
      </c>
      <c r="K20" s="19">
        <f t="shared" si="2"/>
        <v>2575.7525000000001</v>
      </c>
      <c r="L20" s="19">
        <f t="shared" si="2"/>
        <v>2601.510025</v>
      </c>
      <c r="M20" s="19">
        <f t="shared" si="2"/>
        <v>2627.5251252500002</v>
      </c>
      <c r="N20" s="19">
        <f t="shared" si="2"/>
        <v>2653.8003765025001</v>
      </c>
    </row>
    <row r="21" spans="2:14" ht="18.75" customHeight="1" x14ac:dyDescent="0.3">
      <c r="B21" s="51" t="s">
        <v>83</v>
      </c>
      <c r="C21" s="52">
        <f t="shared" ref="C21:N21" si="3">SUM(C14:C20)</f>
        <v>134500</v>
      </c>
      <c r="D21" s="52">
        <f t="shared" si="3"/>
        <v>143900</v>
      </c>
      <c r="E21" s="52">
        <f t="shared" si="3"/>
        <v>130400</v>
      </c>
      <c r="F21" s="52">
        <f t="shared" si="3"/>
        <v>150300</v>
      </c>
      <c r="G21" s="52">
        <f t="shared" si="3"/>
        <v>159800</v>
      </c>
      <c r="H21" s="52">
        <f t="shared" si="3"/>
        <v>148000</v>
      </c>
      <c r="I21" s="52">
        <f t="shared" si="3"/>
        <v>149480</v>
      </c>
      <c r="J21" s="52">
        <f t="shared" si="3"/>
        <v>150974.79999999999</v>
      </c>
      <c r="K21" s="52">
        <f t="shared" si="3"/>
        <v>152484.54800000001</v>
      </c>
      <c r="L21" s="52">
        <f t="shared" si="3"/>
        <v>154009.39348</v>
      </c>
      <c r="M21" s="52">
        <f t="shared" si="3"/>
        <v>155549.48741479998</v>
      </c>
      <c r="N21" s="52">
        <f t="shared" si="3"/>
        <v>157104.98228894803</v>
      </c>
    </row>
    <row r="22" spans="2:14" ht="18.75" customHeight="1" x14ac:dyDescent="0.3"/>
    <row r="23" spans="2:14" ht="18.75" customHeight="1" x14ac:dyDescent="0.3">
      <c r="B23" s="3" t="s">
        <v>84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9.5" customHeight="1" x14ac:dyDescent="0.3">
      <c r="B24" s="33" t="s">
        <v>85</v>
      </c>
      <c r="C24" s="19">
        <f t="shared" ref="C24:N24" si="4">C10-C14</f>
        <v>190000</v>
      </c>
      <c r="D24" s="19">
        <f t="shared" si="4"/>
        <v>196000</v>
      </c>
      <c r="E24" s="19">
        <f t="shared" si="4"/>
        <v>189000</v>
      </c>
      <c r="F24" s="19">
        <f t="shared" si="4"/>
        <v>209000</v>
      </c>
      <c r="G24" s="19">
        <f t="shared" si="4"/>
        <v>220000</v>
      </c>
      <c r="H24" s="19">
        <f t="shared" si="4"/>
        <v>210000</v>
      </c>
      <c r="I24" s="19">
        <f t="shared" si="4"/>
        <v>217780</v>
      </c>
      <c r="J24" s="19">
        <f t="shared" si="4"/>
        <v>225808.20000000004</v>
      </c>
      <c r="K24" s="19">
        <f t="shared" si="4"/>
        <v>234092.19400000008</v>
      </c>
      <c r="L24" s="19">
        <f t="shared" si="4"/>
        <v>242639.80530000007</v>
      </c>
      <c r="M24" s="19">
        <f t="shared" si="4"/>
        <v>251459.09339380002</v>
      </c>
      <c r="N24" s="19">
        <f t="shared" si="4"/>
        <v>260558.36106976206</v>
      </c>
    </row>
    <row r="25" spans="2:14" ht="19.5" customHeight="1" x14ac:dyDescent="0.3">
      <c r="B25" s="43" t="s">
        <v>86</v>
      </c>
      <c r="C25" s="20">
        <f t="shared" ref="C25:N25" si="5">IFERROR((C10-C14)/C10,0)</f>
        <v>0.74509803921568629</v>
      </c>
      <c r="D25" s="20">
        <f t="shared" si="5"/>
        <v>0.73408239700374533</v>
      </c>
      <c r="E25" s="20">
        <f t="shared" si="5"/>
        <v>0.75298804780876494</v>
      </c>
      <c r="F25" s="20">
        <f t="shared" si="5"/>
        <v>0.7359154929577465</v>
      </c>
      <c r="G25" s="20">
        <f t="shared" si="5"/>
        <v>0.73089700996677742</v>
      </c>
      <c r="H25" s="20">
        <f t="shared" si="5"/>
        <v>0.73943661971830987</v>
      </c>
      <c r="I25" s="20">
        <f t="shared" si="5"/>
        <v>0.74449610283057566</v>
      </c>
      <c r="J25" s="20">
        <f t="shared" si="5"/>
        <v>0.74945734355231208</v>
      </c>
      <c r="K25" s="20">
        <f t="shared" si="5"/>
        <v>0.75432224950275273</v>
      </c>
      <c r="L25" s="20">
        <f t="shared" si="5"/>
        <v>0.7590926912599808</v>
      </c>
      <c r="M25" s="20">
        <f t="shared" si="5"/>
        <v>0.76377050308017536</v>
      </c>
      <c r="N25" s="20">
        <f t="shared" si="5"/>
        <v>0.76835748360289036</v>
      </c>
    </row>
    <row r="26" spans="2:14" ht="19.5" customHeight="1" x14ac:dyDescent="0.3">
      <c r="B26" s="33" t="s">
        <v>87</v>
      </c>
      <c r="C26" s="19">
        <f t="shared" ref="C26:N26" si="6">C10-C21+C20</f>
        <v>123000</v>
      </c>
      <c r="D26" s="19">
        <f t="shared" si="6"/>
        <v>125600</v>
      </c>
      <c r="E26" s="19">
        <f t="shared" si="6"/>
        <v>123100</v>
      </c>
      <c r="F26" s="19">
        <f t="shared" si="6"/>
        <v>136200</v>
      </c>
      <c r="G26" s="19">
        <f t="shared" si="6"/>
        <v>143700</v>
      </c>
      <c r="H26" s="19">
        <f t="shared" si="6"/>
        <v>138500</v>
      </c>
      <c r="I26" s="19">
        <f t="shared" si="6"/>
        <v>145565</v>
      </c>
      <c r="J26" s="19">
        <f t="shared" si="6"/>
        <v>152871.05000000005</v>
      </c>
      <c r="K26" s="19">
        <f t="shared" si="6"/>
        <v>160425.67250000004</v>
      </c>
      <c r="L26" s="19">
        <f t="shared" si="6"/>
        <v>168236.61858500005</v>
      </c>
      <c r="M26" s="19">
        <f t="shared" si="6"/>
        <v>176311.87481165002</v>
      </c>
      <c r="N26" s="19">
        <f t="shared" si="6"/>
        <v>184659.67030179052</v>
      </c>
    </row>
    <row r="27" spans="2:14" ht="19.5" customHeight="1" x14ac:dyDescent="0.3">
      <c r="B27" s="43" t="s">
        <v>88</v>
      </c>
      <c r="C27" s="53">
        <f t="shared" ref="C27:N27" si="7">C10-C21</f>
        <v>120500</v>
      </c>
      <c r="D27" s="53">
        <f t="shared" si="7"/>
        <v>123100</v>
      </c>
      <c r="E27" s="53">
        <f t="shared" si="7"/>
        <v>120600</v>
      </c>
      <c r="F27" s="53">
        <f t="shared" si="7"/>
        <v>133700</v>
      </c>
      <c r="G27" s="53">
        <f t="shared" si="7"/>
        <v>141200</v>
      </c>
      <c r="H27" s="53">
        <f t="shared" si="7"/>
        <v>136000</v>
      </c>
      <c r="I27" s="53">
        <f t="shared" si="7"/>
        <v>143040</v>
      </c>
      <c r="J27" s="53">
        <f t="shared" si="7"/>
        <v>150320.80000000005</v>
      </c>
      <c r="K27" s="53">
        <f t="shared" si="7"/>
        <v>157849.92000000004</v>
      </c>
      <c r="L27" s="53">
        <f t="shared" si="7"/>
        <v>165635.10856000005</v>
      </c>
      <c r="M27" s="53">
        <f t="shared" si="7"/>
        <v>173684.34968640003</v>
      </c>
      <c r="N27" s="53">
        <f t="shared" si="7"/>
        <v>182005.86992528802</v>
      </c>
    </row>
    <row r="28" spans="2:14" ht="19.5" customHeight="1" x14ac:dyDescent="0.3">
      <c r="B28" s="33" t="s">
        <v>89</v>
      </c>
      <c r="C28" s="44">
        <f t="shared" ref="C28:N28" si="8">IFERROR((C10-C21)/C10,0)</f>
        <v>0.47254901960784312</v>
      </c>
      <c r="D28" s="44">
        <f t="shared" si="8"/>
        <v>0.46104868913857677</v>
      </c>
      <c r="E28" s="44">
        <f t="shared" si="8"/>
        <v>0.48047808764940236</v>
      </c>
      <c r="F28" s="44">
        <f t="shared" si="8"/>
        <v>0.47077464788732393</v>
      </c>
      <c r="G28" s="44">
        <f t="shared" si="8"/>
        <v>0.46910299003322259</v>
      </c>
      <c r="H28" s="44">
        <f t="shared" si="8"/>
        <v>0.47887323943661969</v>
      </c>
      <c r="I28" s="44">
        <f t="shared" si="8"/>
        <v>0.48899220566115137</v>
      </c>
      <c r="J28" s="44">
        <f t="shared" si="8"/>
        <v>0.49891468710462428</v>
      </c>
      <c r="K28" s="44">
        <f t="shared" si="8"/>
        <v>0.50864449900550535</v>
      </c>
      <c r="L28" s="44">
        <f t="shared" si="8"/>
        <v>0.51818538251996149</v>
      </c>
      <c r="M28" s="44">
        <f t="shared" si="8"/>
        <v>0.5275410061603506</v>
      </c>
      <c r="N28" s="44">
        <f t="shared" si="8"/>
        <v>0.5367149672057806</v>
      </c>
    </row>
    <row r="29" spans="2:14" ht="19.5" customHeight="1" x14ac:dyDescent="0.3">
      <c r="B29" s="43" t="s">
        <v>90</v>
      </c>
      <c r="C29" s="53">
        <f t="shared" ref="C29:N29" si="9">C10-C21+C20</f>
        <v>123000</v>
      </c>
      <c r="D29" s="53">
        <f t="shared" si="9"/>
        <v>125600</v>
      </c>
      <c r="E29" s="53">
        <f t="shared" si="9"/>
        <v>123100</v>
      </c>
      <c r="F29" s="53">
        <f t="shared" si="9"/>
        <v>136200</v>
      </c>
      <c r="G29" s="53">
        <f t="shared" si="9"/>
        <v>143700</v>
      </c>
      <c r="H29" s="53">
        <f t="shared" si="9"/>
        <v>138500</v>
      </c>
      <c r="I29" s="53">
        <f t="shared" si="9"/>
        <v>145565</v>
      </c>
      <c r="J29" s="53">
        <f t="shared" si="9"/>
        <v>152871.05000000005</v>
      </c>
      <c r="K29" s="53">
        <f t="shared" si="9"/>
        <v>160425.67250000004</v>
      </c>
      <c r="L29" s="53">
        <f t="shared" si="9"/>
        <v>168236.61858500005</v>
      </c>
      <c r="M29" s="53">
        <f t="shared" si="9"/>
        <v>176311.87481165002</v>
      </c>
      <c r="N29" s="53">
        <f t="shared" si="9"/>
        <v>184659.67030179052</v>
      </c>
    </row>
    <row r="30" spans="2:14" ht="18.75" customHeight="1" x14ac:dyDescent="0.3"/>
    <row r="31" spans="2:14" ht="18.75" customHeight="1" x14ac:dyDescent="0.3"/>
    <row r="32" spans="2:14" ht="18.75" customHeight="1" x14ac:dyDescent="0.3"/>
    <row r="33" spans="5:5" ht="18.75" customHeight="1" x14ac:dyDescent="0.3"/>
    <row r="34" spans="5:5" ht="18.75" customHeight="1" x14ac:dyDescent="0.3"/>
    <row r="35" spans="5:5" ht="18.75" customHeight="1" x14ac:dyDescent="0.3">
      <c r="E35" s="46">
        <f>SUM(C25:N25)</f>
        <v>8.9779139804997179</v>
      </c>
    </row>
    <row r="36" spans="5:5" ht="18.75" customHeight="1" x14ac:dyDescent="0.3"/>
    <row r="37" spans="5:5" ht="18.75" customHeight="1" x14ac:dyDescent="0.3"/>
    <row r="38" spans="5:5" ht="18.75" customHeight="1" x14ac:dyDescent="0.3">
      <c r="E38" s="46">
        <f>SUM(C29:N29)</f>
        <v>1778169.8861984408</v>
      </c>
    </row>
    <row r="39" spans="5:5" ht="18.75" customHeight="1" x14ac:dyDescent="0.3"/>
    <row r="40" spans="5:5" ht="18.75" customHeight="1" x14ac:dyDescent="0.3"/>
    <row r="41" spans="5:5" ht="18.75" customHeight="1" x14ac:dyDescent="0.3"/>
    <row r="42" spans="5:5" ht="18.75" customHeight="1" x14ac:dyDescent="0.3"/>
    <row r="43" spans="5:5" ht="18.75" customHeight="1" x14ac:dyDescent="0.3"/>
    <row r="44" spans="5:5" ht="18.75" customHeight="1" x14ac:dyDescent="0.3"/>
    <row r="45" spans="5:5" ht="18.75" customHeight="1" x14ac:dyDescent="0.3"/>
    <row r="46" spans="5:5" ht="18.75" customHeight="1" x14ac:dyDescent="0.3"/>
    <row r="47" spans="5:5" ht="18.75" customHeight="1" x14ac:dyDescent="0.3"/>
    <row r="48" spans="5:5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</sheetData>
  <mergeCells count="4">
    <mergeCell ref="B2:N2"/>
    <mergeCell ref="B4:N4"/>
    <mergeCell ref="B12:N12"/>
    <mergeCell ref="B23:N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B1:K54"/>
  <sheetViews>
    <sheetView showGridLines="0" tabSelected="1" zoomScaleNormal="100" workbookViewId="0"/>
  </sheetViews>
  <sheetFormatPr baseColWidth="10" defaultColWidth="8.6640625" defaultRowHeight="14.4" x14ac:dyDescent="0.3"/>
  <cols>
    <col min="1" max="1" width="2" customWidth="1"/>
    <col min="2" max="2" width="24" customWidth="1"/>
    <col min="3" max="3" width="16" customWidth="1"/>
    <col min="4" max="11" width="14" customWidth="1"/>
  </cols>
  <sheetData>
    <row r="1" spans="2:11" ht="18.75" customHeight="1" x14ac:dyDescent="0.3"/>
    <row r="2" spans="2:11" ht="18.75" customHeight="1" x14ac:dyDescent="0.3">
      <c r="B2" s="85" t="s">
        <v>91</v>
      </c>
      <c r="C2" s="85"/>
      <c r="D2" s="85"/>
      <c r="E2" s="85"/>
      <c r="F2" s="85"/>
      <c r="G2" s="85"/>
      <c r="H2" s="85"/>
      <c r="I2" s="85"/>
      <c r="J2" s="85"/>
      <c r="K2" s="85"/>
    </row>
    <row r="3" spans="2:11" ht="18.75" customHeight="1" x14ac:dyDescent="0.3"/>
    <row r="4" spans="2:11" ht="18.75" customHeight="1" x14ac:dyDescent="0.3">
      <c r="B4" s="86" t="s">
        <v>92</v>
      </c>
      <c r="C4" s="86"/>
      <c r="D4" s="86"/>
      <c r="E4" s="86"/>
      <c r="F4" s="86"/>
      <c r="G4" s="86"/>
      <c r="H4" s="86"/>
      <c r="I4" s="86"/>
      <c r="J4" s="86"/>
      <c r="K4" s="86"/>
    </row>
    <row r="5" spans="2:11" ht="18.75" customHeight="1" x14ac:dyDescent="0.3">
      <c r="B5" s="32" t="s">
        <v>93</v>
      </c>
      <c r="C5" s="32" t="s">
        <v>94</v>
      </c>
      <c r="D5" s="32" t="s">
        <v>95</v>
      </c>
      <c r="E5" s="32" t="s">
        <v>96</v>
      </c>
      <c r="F5" s="32" t="s">
        <v>97</v>
      </c>
      <c r="G5" s="32" t="s">
        <v>98</v>
      </c>
      <c r="H5" s="32" t="s">
        <v>99</v>
      </c>
      <c r="I5" s="32" t="s">
        <v>100</v>
      </c>
      <c r="J5" s="32" t="s">
        <v>101</v>
      </c>
      <c r="K5" s="32" t="s">
        <v>16</v>
      </c>
    </row>
    <row r="6" spans="2:11" ht="21" customHeight="1" x14ac:dyDescent="0.3">
      <c r="B6" s="54" t="s">
        <v>102</v>
      </c>
      <c r="C6" s="55" t="s">
        <v>103</v>
      </c>
      <c r="D6" s="56">
        <v>850</v>
      </c>
      <c r="E6" s="56">
        <v>200</v>
      </c>
      <c r="F6" s="56">
        <v>1200</v>
      </c>
      <c r="G6" s="57">
        <v>12.5</v>
      </c>
      <c r="H6" s="31">
        <f t="shared" ref="H6:H15" si="0">D6*G6</f>
        <v>10625</v>
      </c>
      <c r="I6" s="29">
        <f t="shared" ref="I6:I15" si="1">IFERROR((D6*4)/((E6+F6)/2),0)</f>
        <v>4.8571428571428568</v>
      </c>
      <c r="J6" s="58">
        <f t="shared" ref="J6:J15" si="2">IFERROR(D6/(D6*4/365),0)</f>
        <v>91.25</v>
      </c>
      <c r="K6" s="59" t="str">
        <f t="shared" ref="K6:K15" si="3">IF(D6&lt;E6,"🔴 BAJO",IF(D6&gt;F6,"🟡 EXCESO","🟢 OK"))</f>
        <v>🟢 OK</v>
      </c>
    </row>
    <row r="7" spans="2:11" ht="21" customHeight="1" x14ac:dyDescent="0.3">
      <c r="B7" s="60" t="s">
        <v>104</v>
      </c>
      <c r="C7" s="61" t="s">
        <v>103</v>
      </c>
      <c r="D7" s="34">
        <v>420</v>
      </c>
      <c r="E7" s="34">
        <v>100</v>
      </c>
      <c r="F7" s="34">
        <v>600</v>
      </c>
      <c r="G7" s="62">
        <v>8.75</v>
      </c>
      <c r="H7" s="19">
        <f t="shared" si="0"/>
        <v>3675</v>
      </c>
      <c r="I7" s="63">
        <f t="shared" si="1"/>
        <v>4.8</v>
      </c>
      <c r="J7" s="64">
        <f t="shared" si="2"/>
        <v>91.25</v>
      </c>
      <c r="K7" s="65" t="str">
        <f t="shared" si="3"/>
        <v>🟢 OK</v>
      </c>
    </row>
    <row r="8" spans="2:11" ht="21" customHeight="1" x14ac:dyDescent="0.3">
      <c r="B8" s="66" t="s">
        <v>105</v>
      </c>
      <c r="C8" s="55" t="s">
        <v>106</v>
      </c>
      <c r="D8" s="56">
        <v>320</v>
      </c>
      <c r="E8" s="56">
        <v>80</v>
      </c>
      <c r="F8" s="56">
        <v>500</v>
      </c>
      <c r="G8" s="57">
        <v>45</v>
      </c>
      <c r="H8" s="31">
        <f t="shared" si="0"/>
        <v>14400</v>
      </c>
      <c r="I8" s="29">
        <f t="shared" si="1"/>
        <v>4.4137931034482758</v>
      </c>
      <c r="J8" s="58">
        <f t="shared" si="2"/>
        <v>91.25</v>
      </c>
      <c r="K8" s="59" t="str">
        <f t="shared" si="3"/>
        <v>🟢 OK</v>
      </c>
    </row>
    <row r="9" spans="2:11" ht="21" customHeight="1" x14ac:dyDescent="0.3">
      <c r="B9" s="67" t="s">
        <v>107</v>
      </c>
      <c r="C9" s="61" t="s">
        <v>106</v>
      </c>
      <c r="D9" s="34">
        <v>185</v>
      </c>
      <c r="E9" s="34">
        <v>50</v>
      </c>
      <c r="F9" s="34">
        <v>300</v>
      </c>
      <c r="G9" s="62">
        <v>38.5</v>
      </c>
      <c r="H9" s="19">
        <f t="shared" si="0"/>
        <v>7122.5</v>
      </c>
      <c r="I9" s="63">
        <f t="shared" si="1"/>
        <v>4.2285714285714286</v>
      </c>
      <c r="J9" s="64">
        <f t="shared" si="2"/>
        <v>91.25</v>
      </c>
      <c r="K9" s="65" t="str">
        <f t="shared" si="3"/>
        <v>🟢 OK</v>
      </c>
    </row>
    <row r="10" spans="2:11" ht="21" customHeight="1" x14ac:dyDescent="0.3">
      <c r="B10" s="66" t="s">
        <v>108</v>
      </c>
      <c r="C10" s="55" t="s">
        <v>106</v>
      </c>
      <c r="D10" s="56">
        <v>240</v>
      </c>
      <c r="E10" s="56">
        <v>60</v>
      </c>
      <c r="F10" s="56">
        <v>400</v>
      </c>
      <c r="G10" s="57">
        <v>28</v>
      </c>
      <c r="H10" s="31">
        <f t="shared" si="0"/>
        <v>6720</v>
      </c>
      <c r="I10" s="29">
        <f t="shared" si="1"/>
        <v>4.1739130434782608</v>
      </c>
      <c r="J10" s="58">
        <f t="shared" si="2"/>
        <v>91.25</v>
      </c>
      <c r="K10" s="59" t="str">
        <f t="shared" si="3"/>
        <v>🟢 OK</v>
      </c>
    </row>
    <row r="11" spans="2:11" ht="21" customHeight="1" x14ac:dyDescent="0.3">
      <c r="B11" s="60" t="s">
        <v>109</v>
      </c>
      <c r="C11" s="61" t="s">
        <v>110</v>
      </c>
      <c r="D11" s="34">
        <v>1200</v>
      </c>
      <c r="E11" s="34">
        <v>300</v>
      </c>
      <c r="F11" s="34">
        <v>2000</v>
      </c>
      <c r="G11" s="62">
        <v>1.2</v>
      </c>
      <c r="H11" s="19">
        <f t="shared" si="0"/>
        <v>1440</v>
      </c>
      <c r="I11" s="63">
        <f t="shared" si="1"/>
        <v>4.1739130434782608</v>
      </c>
      <c r="J11" s="64">
        <f t="shared" si="2"/>
        <v>91.25</v>
      </c>
      <c r="K11" s="65" t="str">
        <f t="shared" si="3"/>
        <v>🟢 OK</v>
      </c>
    </row>
    <row r="12" spans="2:11" ht="21" customHeight="1" x14ac:dyDescent="0.3">
      <c r="B12" s="54" t="s">
        <v>111</v>
      </c>
      <c r="C12" s="55" t="s">
        <v>110</v>
      </c>
      <c r="D12" s="56">
        <v>3500</v>
      </c>
      <c r="E12" s="56">
        <v>800</v>
      </c>
      <c r="F12" s="56">
        <v>5000</v>
      </c>
      <c r="G12" s="57">
        <v>0.45</v>
      </c>
      <c r="H12" s="31">
        <f t="shared" si="0"/>
        <v>1575</v>
      </c>
      <c r="I12" s="29">
        <f t="shared" si="1"/>
        <v>4.8275862068965516</v>
      </c>
      <c r="J12" s="58">
        <f t="shared" si="2"/>
        <v>91.250000000000014</v>
      </c>
      <c r="K12" s="59" t="str">
        <f t="shared" si="3"/>
        <v>🟢 OK</v>
      </c>
    </row>
    <row r="13" spans="2:11" ht="21" customHeight="1" x14ac:dyDescent="0.3">
      <c r="B13" s="60" t="s">
        <v>112</v>
      </c>
      <c r="C13" s="61" t="s">
        <v>113</v>
      </c>
      <c r="D13" s="34">
        <v>12</v>
      </c>
      <c r="E13" s="34">
        <v>3</v>
      </c>
      <c r="F13" s="34">
        <v>20</v>
      </c>
      <c r="G13" s="62">
        <v>280</v>
      </c>
      <c r="H13" s="19">
        <f t="shared" si="0"/>
        <v>3360</v>
      </c>
      <c r="I13" s="63">
        <f t="shared" si="1"/>
        <v>4.1739130434782608</v>
      </c>
      <c r="J13" s="64">
        <f t="shared" si="2"/>
        <v>91.250000000000014</v>
      </c>
      <c r="K13" s="65" t="str">
        <f t="shared" si="3"/>
        <v>🟢 OK</v>
      </c>
    </row>
    <row r="14" spans="2:11" ht="21" customHeight="1" x14ac:dyDescent="0.3">
      <c r="B14" s="54" t="s">
        <v>114</v>
      </c>
      <c r="C14" s="55" t="s">
        <v>113</v>
      </c>
      <c r="D14" s="56">
        <v>8</v>
      </c>
      <c r="E14" s="56">
        <v>2</v>
      </c>
      <c r="F14" s="56">
        <v>15</v>
      </c>
      <c r="G14" s="57">
        <v>195</v>
      </c>
      <c r="H14" s="31">
        <f t="shared" si="0"/>
        <v>1560</v>
      </c>
      <c r="I14" s="29">
        <f t="shared" si="1"/>
        <v>3.7647058823529411</v>
      </c>
      <c r="J14" s="58">
        <f t="shared" si="2"/>
        <v>91.25</v>
      </c>
      <c r="K14" s="59" t="str">
        <f t="shared" si="3"/>
        <v>🟢 OK</v>
      </c>
    </row>
    <row r="15" spans="2:11" ht="21" customHeight="1" x14ac:dyDescent="0.3">
      <c r="B15" s="60" t="s">
        <v>115</v>
      </c>
      <c r="C15" s="61" t="s">
        <v>116</v>
      </c>
      <c r="D15" s="34">
        <v>450</v>
      </c>
      <c r="E15" s="34">
        <v>100</v>
      </c>
      <c r="F15" s="34">
        <v>600</v>
      </c>
      <c r="G15" s="62">
        <v>2.2999999999999998</v>
      </c>
      <c r="H15" s="19">
        <f t="shared" si="0"/>
        <v>1035</v>
      </c>
      <c r="I15" s="63">
        <f t="shared" si="1"/>
        <v>5.1428571428571432</v>
      </c>
      <c r="J15" s="64">
        <f t="shared" si="2"/>
        <v>91.25</v>
      </c>
      <c r="K15" s="65" t="str">
        <f t="shared" si="3"/>
        <v>🟢 OK</v>
      </c>
    </row>
    <row r="16" spans="2:11" ht="18.75" customHeight="1" x14ac:dyDescent="0.3">
      <c r="B16" s="38" t="s">
        <v>117</v>
      </c>
      <c r="H16" s="68">
        <f>SUM(H6:H15)</f>
        <v>51512.5</v>
      </c>
      <c r="I16" s="69">
        <f>AVERAGE(I6:I15)</f>
        <v>4.4556395751703981</v>
      </c>
      <c r="J16" s="70">
        <f>AVERAGE(J6:J15)</f>
        <v>91.25</v>
      </c>
    </row>
    <row r="17" spans="2:11" ht="18.75" customHeight="1" x14ac:dyDescent="0.3"/>
    <row r="18" spans="2:11" ht="18.75" customHeight="1" x14ac:dyDescent="0.3">
      <c r="B18" s="87" t="s">
        <v>118</v>
      </c>
      <c r="C18" s="87"/>
      <c r="D18" s="87"/>
      <c r="E18" s="87"/>
      <c r="F18" s="87"/>
      <c r="G18" s="87"/>
      <c r="H18" s="87"/>
      <c r="I18" s="87"/>
      <c r="J18" s="87"/>
      <c r="K18" s="87"/>
    </row>
    <row r="19" spans="2:11" ht="18.75" customHeight="1" x14ac:dyDescent="0.3">
      <c r="B19" s="88" t="str">
        <f>IFERROR(COUNTIF(K6:K15,"*BAJO*")&amp;" productos bajo stock mínimo — revisar urgente","")</f>
        <v>0 productos bajo stock mínimo — revisar urgente</v>
      </c>
      <c r="C19" s="88"/>
      <c r="D19" s="88"/>
      <c r="E19" s="88"/>
      <c r="F19" s="88"/>
      <c r="G19" s="88"/>
      <c r="H19" s="88"/>
      <c r="I19" s="88"/>
      <c r="J19" s="88"/>
      <c r="K19" s="88"/>
    </row>
    <row r="20" spans="2:11" ht="18.75" customHeight="1" x14ac:dyDescent="0.3"/>
    <row r="21" spans="2:11" ht="18.75" customHeight="1" x14ac:dyDescent="0.3"/>
    <row r="22" spans="2:11" ht="18.75" customHeight="1" x14ac:dyDescent="0.3"/>
    <row r="23" spans="2:11" ht="18.75" customHeight="1" x14ac:dyDescent="0.3"/>
    <row r="24" spans="2:11" ht="18.75" customHeight="1" x14ac:dyDescent="0.3"/>
    <row r="25" spans="2:11" ht="18.75" customHeight="1" x14ac:dyDescent="0.3"/>
    <row r="26" spans="2:11" ht="18.75" customHeight="1" x14ac:dyDescent="0.3"/>
    <row r="27" spans="2:11" ht="18.75" customHeight="1" x14ac:dyDescent="0.3"/>
    <row r="28" spans="2:11" ht="18.75" customHeight="1" x14ac:dyDescent="0.3"/>
    <row r="29" spans="2:11" ht="18.75" customHeight="1" x14ac:dyDescent="0.3"/>
    <row r="30" spans="2:11" ht="18.75" customHeight="1" x14ac:dyDescent="0.3"/>
    <row r="31" spans="2:11" ht="18.75" customHeight="1" x14ac:dyDescent="0.3"/>
    <row r="32" spans="2:11" ht="18.75" customHeight="1" x14ac:dyDescent="0.3">
      <c r="F32" s="46">
        <f>H16</f>
        <v>51512.5</v>
      </c>
      <c r="G32" s="71">
        <f>I16</f>
        <v>4.4556395751703981</v>
      </c>
      <c r="H32" s="72">
        <f>J16</f>
        <v>91.25</v>
      </c>
    </row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</sheetData>
  <mergeCells count="4">
    <mergeCell ref="B2:K2"/>
    <mergeCell ref="B4:K4"/>
    <mergeCell ref="B18:K18"/>
    <mergeCell ref="B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B1:I59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26" customWidth="1"/>
    <col min="3" max="10" width="14" customWidth="1"/>
  </cols>
  <sheetData>
    <row r="1" spans="2:9" ht="18.75" customHeight="1" x14ac:dyDescent="0.3"/>
    <row r="2" spans="2:9" ht="18.75" customHeight="1" x14ac:dyDescent="0.3">
      <c r="B2" s="85" t="s">
        <v>119</v>
      </c>
      <c r="C2" s="85"/>
      <c r="D2" s="85"/>
      <c r="E2" s="85"/>
      <c r="F2" s="85"/>
      <c r="G2" s="85"/>
      <c r="H2" s="85"/>
      <c r="I2" s="85"/>
    </row>
    <row r="3" spans="2:9" ht="18.75" customHeight="1" x14ac:dyDescent="0.3"/>
    <row r="4" spans="2:9" ht="18.75" customHeight="1" x14ac:dyDescent="0.3">
      <c r="B4" s="86" t="s">
        <v>120</v>
      </c>
      <c r="C4" s="86"/>
      <c r="D4" s="86"/>
      <c r="E4" s="86"/>
      <c r="F4" s="86"/>
      <c r="G4" s="86"/>
      <c r="H4" s="86"/>
      <c r="I4" s="86"/>
    </row>
    <row r="5" spans="2:9" ht="18.75" customHeight="1" x14ac:dyDescent="0.3">
      <c r="B5" s="32" t="s">
        <v>121</v>
      </c>
      <c r="C5" s="32" t="s">
        <v>122</v>
      </c>
      <c r="D5" s="32" t="s">
        <v>123</v>
      </c>
      <c r="E5" s="32" t="s">
        <v>124</v>
      </c>
      <c r="F5" s="32" t="s">
        <v>125</v>
      </c>
      <c r="G5" s="32" t="s">
        <v>126</v>
      </c>
      <c r="H5" s="32" t="s">
        <v>127</v>
      </c>
      <c r="I5" s="32" t="s">
        <v>128</v>
      </c>
    </row>
    <row r="6" spans="2:9" ht="21" customHeight="1" x14ac:dyDescent="0.3">
      <c r="B6" s="66" t="s">
        <v>51</v>
      </c>
      <c r="C6" s="62">
        <v>85</v>
      </c>
      <c r="D6" s="62">
        <v>52</v>
      </c>
      <c r="E6" s="62">
        <v>4.5</v>
      </c>
      <c r="F6" s="73">
        <f t="shared" ref="F6:F11" si="0">D6+E6</f>
        <v>56.5</v>
      </c>
      <c r="G6" s="73">
        <f t="shared" ref="G6:G11" si="1">C6-F6</f>
        <v>28.5</v>
      </c>
      <c r="H6" s="23">
        <f t="shared" ref="H6:H11" si="2">IFERROR(G6/C6,0)</f>
        <v>0.3352941176470588</v>
      </c>
      <c r="I6" s="59" t="str">
        <f t="shared" ref="I6:I11" si="3">IF(H6&gt;=0.35,"⭐ ESTRELLA",IF(H6&gt;=0.2,"✔ BUENO",IF(H6&gt;=0.1,"⚠ REGULAR","✘ REVISAR")))</f>
        <v>✔ BUENO</v>
      </c>
    </row>
    <row r="7" spans="2:9" ht="21" customHeight="1" x14ac:dyDescent="0.3">
      <c r="B7" s="67" t="s">
        <v>52</v>
      </c>
      <c r="C7" s="62">
        <v>65</v>
      </c>
      <c r="D7" s="62">
        <v>38</v>
      </c>
      <c r="E7" s="62">
        <v>3.8</v>
      </c>
      <c r="F7" s="74">
        <f t="shared" si="0"/>
        <v>41.8</v>
      </c>
      <c r="G7" s="74">
        <f t="shared" si="1"/>
        <v>23.200000000000003</v>
      </c>
      <c r="H7" s="20">
        <f t="shared" si="2"/>
        <v>0.35692307692307695</v>
      </c>
      <c r="I7" s="65" t="str">
        <f t="shared" si="3"/>
        <v>⭐ ESTRELLA</v>
      </c>
    </row>
    <row r="8" spans="2:9" ht="21" customHeight="1" x14ac:dyDescent="0.3">
      <c r="B8" s="66" t="s">
        <v>53</v>
      </c>
      <c r="C8" s="62">
        <v>45</v>
      </c>
      <c r="D8" s="62">
        <v>28</v>
      </c>
      <c r="E8" s="62">
        <v>2.5</v>
      </c>
      <c r="F8" s="73">
        <f t="shared" si="0"/>
        <v>30.5</v>
      </c>
      <c r="G8" s="73">
        <f t="shared" si="1"/>
        <v>14.5</v>
      </c>
      <c r="H8" s="23">
        <f t="shared" si="2"/>
        <v>0.32222222222222224</v>
      </c>
      <c r="I8" s="59" t="str">
        <f t="shared" si="3"/>
        <v>✔ BUENO</v>
      </c>
    </row>
    <row r="9" spans="2:9" ht="21" customHeight="1" x14ac:dyDescent="0.3">
      <c r="B9" s="67" t="s">
        <v>54</v>
      </c>
      <c r="C9" s="62">
        <v>32</v>
      </c>
      <c r="D9" s="62">
        <v>22</v>
      </c>
      <c r="E9" s="62">
        <v>1.8</v>
      </c>
      <c r="F9" s="74">
        <f t="shared" si="0"/>
        <v>23.8</v>
      </c>
      <c r="G9" s="74">
        <f t="shared" si="1"/>
        <v>8.1999999999999993</v>
      </c>
      <c r="H9" s="20">
        <f t="shared" si="2"/>
        <v>0.25624999999999998</v>
      </c>
      <c r="I9" s="65" t="str">
        <f t="shared" si="3"/>
        <v>✔ BUENO</v>
      </c>
    </row>
    <row r="10" spans="2:9" ht="21" customHeight="1" x14ac:dyDescent="0.3">
      <c r="B10" s="66" t="s">
        <v>129</v>
      </c>
      <c r="C10" s="62">
        <v>120</v>
      </c>
      <c r="D10" s="62">
        <v>65</v>
      </c>
      <c r="E10" s="62">
        <v>6</v>
      </c>
      <c r="F10" s="73">
        <f t="shared" si="0"/>
        <v>71</v>
      </c>
      <c r="G10" s="73">
        <f t="shared" si="1"/>
        <v>49</v>
      </c>
      <c r="H10" s="23">
        <f t="shared" si="2"/>
        <v>0.40833333333333333</v>
      </c>
      <c r="I10" s="59" t="str">
        <f t="shared" si="3"/>
        <v>⭐ ESTRELLA</v>
      </c>
    </row>
    <row r="11" spans="2:9" ht="21" customHeight="1" x14ac:dyDescent="0.3">
      <c r="B11" s="67" t="s">
        <v>130</v>
      </c>
      <c r="C11" s="62">
        <v>28</v>
      </c>
      <c r="D11" s="62">
        <v>21</v>
      </c>
      <c r="E11" s="62">
        <v>1.2</v>
      </c>
      <c r="F11" s="74">
        <f t="shared" si="0"/>
        <v>22.2</v>
      </c>
      <c r="G11" s="74">
        <f t="shared" si="1"/>
        <v>5.8000000000000007</v>
      </c>
      <c r="H11" s="20">
        <f t="shared" si="2"/>
        <v>0.20714285714285716</v>
      </c>
      <c r="I11" s="65" t="str">
        <f t="shared" si="3"/>
        <v>✔ BUENO</v>
      </c>
    </row>
    <row r="12" spans="2:9" ht="18.75" customHeight="1" x14ac:dyDescent="0.3">
      <c r="B12" s="75" t="s">
        <v>48</v>
      </c>
      <c r="C12" s="76">
        <f t="shared" ref="C12:H12" si="4">AVERAGE(C6:C11)</f>
        <v>62.5</v>
      </c>
      <c r="D12" s="76">
        <f t="shared" si="4"/>
        <v>37.666666666666664</v>
      </c>
      <c r="E12" s="76">
        <f t="shared" si="4"/>
        <v>3.3000000000000003</v>
      </c>
      <c r="F12" s="76">
        <f t="shared" si="4"/>
        <v>40.966666666666669</v>
      </c>
      <c r="G12" s="76">
        <f t="shared" si="4"/>
        <v>21.533333333333335</v>
      </c>
      <c r="H12" s="77">
        <f t="shared" si="4"/>
        <v>0.31436093454475805</v>
      </c>
    </row>
    <row r="13" spans="2:9" ht="18.75" customHeight="1" x14ac:dyDescent="0.3"/>
    <row r="14" spans="2:9" ht="18.75" customHeight="1" x14ac:dyDescent="0.3"/>
    <row r="15" spans="2:9" ht="18.75" customHeight="1" x14ac:dyDescent="0.3">
      <c r="B15" s="3" t="s">
        <v>131</v>
      </c>
      <c r="C15" s="3"/>
      <c r="D15" s="3"/>
      <c r="E15" s="3"/>
      <c r="F15" s="3"/>
      <c r="G15" s="3"/>
      <c r="H15" s="3"/>
      <c r="I15" s="3"/>
    </row>
    <row r="16" spans="2:9" ht="18.75" customHeight="1" x14ac:dyDescent="0.3">
      <c r="B16" s="16" t="s">
        <v>121</v>
      </c>
      <c r="C16" s="16" t="s">
        <v>126</v>
      </c>
      <c r="D16" s="16" t="s">
        <v>127</v>
      </c>
      <c r="E16" s="16" t="s">
        <v>132</v>
      </c>
      <c r="F16" s="16" t="s">
        <v>133</v>
      </c>
      <c r="G16" s="16"/>
    </row>
    <row r="17" spans="2:8" ht="18.75" customHeight="1" x14ac:dyDescent="0.3">
      <c r="B17" s="54" t="s">
        <v>129</v>
      </c>
      <c r="C17" s="57">
        <v>55</v>
      </c>
      <c r="D17" s="23">
        <f t="shared" ref="D17:D22" si="5">C17/SUM($C$17:$C$22)</f>
        <v>0.36912751677852351</v>
      </c>
      <c r="E17" s="23">
        <f>D17</f>
        <v>0.36912751677852351</v>
      </c>
      <c r="F17" s="59" t="str">
        <f t="shared" ref="F17:F22" si="6">IF(E17&lt;=0.8,"🔵 VITAL (80%)","⚪ TRIVIAL (20%)")</f>
        <v>🔵 VITAL (80%)</v>
      </c>
    </row>
    <row r="18" spans="2:8" ht="18.75" customHeight="1" x14ac:dyDescent="0.3">
      <c r="B18" s="78" t="s">
        <v>51</v>
      </c>
      <c r="C18" s="79">
        <v>33</v>
      </c>
      <c r="D18" s="26">
        <f t="shared" si="5"/>
        <v>0.22147651006711411</v>
      </c>
      <c r="E18" s="26">
        <f>E17+D18</f>
        <v>0.59060402684563762</v>
      </c>
      <c r="F18" s="80" t="str">
        <f t="shared" si="6"/>
        <v>🔵 VITAL (80%)</v>
      </c>
    </row>
    <row r="19" spans="2:8" ht="18.75" customHeight="1" x14ac:dyDescent="0.3">
      <c r="B19" s="54" t="s">
        <v>52</v>
      </c>
      <c r="C19" s="57">
        <v>27</v>
      </c>
      <c r="D19" s="23">
        <f t="shared" si="5"/>
        <v>0.18120805369127516</v>
      </c>
      <c r="E19" s="23">
        <f>E18+D19</f>
        <v>0.77181208053691275</v>
      </c>
      <c r="F19" s="59" t="str">
        <f t="shared" si="6"/>
        <v>🔵 VITAL (80%)</v>
      </c>
    </row>
    <row r="20" spans="2:8" ht="18.75" customHeight="1" x14ac:dyDescent="0.3">
      <c r="B20" s="78" t="s">
        <v>53</v>
      </c>
      <c r="C20" s="79">
        <v>17</v>
      </c>
      <c r="D20" s="26">
        <f t="shared" si="5"/>
        <v>0.11409395973154363</v>
      </c>
      <c r="E20" s="26">
        <f>E19+D20</f>
        <v>0.88590604026845643</v>
      </c>
      <c r="F20" s="80" t="str">
        <f t="shared" si="6"/>
        <v>⚪ TRIVIAL (20%)</v>
      </c>
    </row>
    <row r="21" spans="2:8" ht="18.75" customHeight="1" x14ac:dyDescent="0.3">
      <c r="B21" s="54" t="s">
        <v>54</v>
      </c>
      <c r="C21" s="57">
        <v>10</v>
      </c>
      <c r="D21" s="23">
        <f t="shared" si="5"/>
        <v>6.7114093959731544E-2</v>
      </c>
      <c r="E21" s="23">
        <f>E20+D21</f>
        <v>0.95302013422818799</v>
      </c>
      <c r="F21" s="59" t="str">
        <f t="shared" si="6"/>
        <v>⚪ TRIVIAL (20%)</v>
      </c>
    </row>
    <row r="22" spans="2:8" ht="18.75" customHeight="1" x14ac:dyDescent="0.3">
      <c r="B22" s="78" t="s">
        <v>130</v>
      </c>
      <c r="C22" s="79">
        <v>7</v>
      </c>
      <c r="D22" s="26">
        <f t="shared" si="5"/>
        <v>4.6979865771812082E-2</v>
      </c>
      <c r="E22" s="26">
        <f>E21+D22</f>
        <v>1</v>
      </c>
      <c r="F22" s="80" t="str">
        <f t="shared" si="6"/>
        <v>⚪ TRIVIAL (20%)</v>
      </c>
    </row>
    <row r="23" spans="2:8" ht="18.75" customHeight="1" x14ac:dyDescent="0.3"/>
    <row r="24" spans="2:8" ht="18.75" customHeight="1" x14ac:dyDescent="0.3"/>
    <row r="25" spans="2:8" ht="18.75" customHeight="1" x14ac:dyDescent="0.3">
      <c r="H25" s="37">
        <f>AVERAGE(H6:H11)</f>
        <v>0.31436093454475805</v>
      </c>
    </row>
    <row r="26" spans="2:8" ht="18.75" customHeight="1" x14ac:dyDescent="0.3"/>
    <row r="27" spans="2:8" ht="18.75" customHeight="1" x14ac:dyDescent="0.3"/>
    <row r="28" spans="2:8" ht="18.75" customHeight="1" x14ac:dyDescent="0.3">
      <c r="H28" s="37">
        <f>AVERAGE(G6:G11)/AVERAGE(C6:C11)</f>
        <v>0.34453333333333336</v>
      </c>
    </row>
    <row r="29" spans="2:8" ht="18.75" customHeight="1" x14ac:dyDescent="0.3"/>
    <row r="30" spans="2:8" ht="18.75" customHeight="1" x14ac:dyDescent="0.3"/>
    <row r="31" spans="2:8" ht="18.75" customHeight="1" x14ac:dyDescent="0.3"/>
    <row r="32" spans="2:8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</sheetData>
  <mergeCells count="3">
    <mergeCell ref="B2:I2"/>
    <mergeCell ref="B4:I4"/>
    <mergeCell ref="B15:I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8C8D"/>
  </sheetPr>
  <dimension ref="B1:D39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32" customWidth="1"/>
    <col min="3" max="3" width="20" customWidth="1"/>
    <col min="4" max="4" width="30" customWidth="1"/>
  </cols>
  <sheetData>
    <row r="1" spans="2:4" ht="19.5" customHeight="1" x14ac:dyDescent="0.3"/>
    <row r="2" spans="2:4" ht="19.5" customHeight="1" x14ac:dyDescent="0.3">
      <c r="B2" s="85" t="s">
        <v>134</v>
      </c>
      <c r="C2" s="85"/>
      <c r="D2" s="85"/>
    </row>
    <row r="3" spans="2:4" ht="19.5" customHeight="1" x14ac:dyDescent="0.3"/>
    <row r="4" spans="2:4" ht="19.5" customHeight="1" x14ac:dyDescent="0.3">
      <c r="B4" s="86" t="s">
        <v>135</v>
      </c>
      <c r="C4" s="86"/>
      <c r="D4" s="86"/>
    </row>
    <row r="5" spans="2:4" ht="19.5" customHeight="1" x14ac:dyDescent="0.3">
      <c r="B5" s="32" t="s">
        <v>136</v>
      </c>
      <c r="C5" s="32" t="s">
        <v>18</v>
      </c>
      <c r="D5" s="32" t="s">
        <v>137</v>
      </c>
    </row>
    <row r="6" spans="2:4" ht="19.5" customHeight="1" x14ac:dyDescent="0.3">
      <c r="B6" s="89" t="s">
        <v>138</v>
      </c>
      <c r="C6" s="89"/>
      <c r="D6" s="89"/>
    </row>
    <row r="7" spans="2:4" ht="19.5" customHeight="1" x14ac:dyDescent="0.3">
      <c r="B7" s="78" t="s">
        <v>139</v>
      </c>
      <c r="C7" s="81" t="s">
        <v>140</v>
      </c>
      <c r="D7" s="82" t="s">
        <v>141</v>
      </c>
    </row>
    <row r="8" spans="2:4" ht="19.5" customHeight="1" x14ac:dyDescent="0.3">
      <c r="B8" s="54" t="s">
        <v>142</v>
      </c>
      <c r="C8" s="81" t="s">
        <v>143</v>
      </c>
      <c r="D8" s="82" t="s">
        <v>144</v>
      </c>
    </row>
    <row r="9" spans="2:4" ht="19.5" customHeight="1" x14ac:dyDescent="0.3">
      <c r="B9" s="78" t="s">
        <v>145</v>
      </c>
      <c r="C9" s="81" t="s">
        <v>146</v>
      </c>
      <c r="D9" s="82" t="s">
        <v>144</v>
      </c>
    </row>
    <row r="10" spans="2:4" ht="19.5" customHeight="1" x14ac:dyDescent="0.3">
      <c r="B10" s="54" t="s">
        <v>147</v>
      </c>
      <c r="C10" s="81" t="s">
        <v>148</v>
      </c>
      <c r="D10" s="82" t="s">
        <v>149</v>
      </c>
    </row>
    <row r="11" spans="2:4" ht="19.5" customHeight="1" x14ac:dyDescent="0.3">
      <c r="B11" s="78" t="s">
        <v>150</v>
      </c>
      <c r="C11" s="81">
        <v>2026</v>
      </c>
      <c r="D11" s="82" t="s">
        <v>151</v>
      </c>
    </row>
    <row r="12" spans="2:4" ht="19.5" customHeight="1" x14ac:dyDescent="0.3"/>
    <row r="13" spans="2:4" ht="19.5" customHeight="1" x14ac:dyDescent="0.3">
      <c r="B13" s="89" t="s">
        <v>152</v>
      </c>
      <c r="C13" s="89"/>
      <c r="D13" s="89"/>
    </row>
    <row r="14" spans="2:4" ht="19.5" customHeight="1" x14ac:dyDescent="0.3">
      <c r="B14" s="54" t="s">
        <v>153</v>
      </c>
      <c r="C14" s="83">
        <v>0.03</v>
      </c>
      <c r="D14" s="82" t="s">
        <v>154</v>
      </c>
    </row>
    <row r="15" spans="2:4" ht="19.5" customHeight="1" x14ac:dyDescent="0.3">
      <c r="B15" s="78" t="s">
        <v>155</v>
      </c>
      <c r="C15" s="83">
        <v>0.01</v>
      </c>
      <c r="D15" s="82" t="s">
        <v>154</v>
      </c>
    </row>
    <row r="16" spans="2:4" ht="19.5" customHeight="1" x14ac:dyDescent="0.3">
      <c r="B16" s="54" t="s">
        <v>156</v>
      </c>
      <c r="C16" s="83">
        <v>0.25</v>
      </c>
      <c r="D16" s="82" t="s">
        <v>157</v>
      </c>
    </row>
    <row r="17" spans="2:4" ht="19.5" customHeight="1" x14ac:dyDescent="0.3">
      <c r="B17" s="78" t="s">
        <v>158</v>
      </c>
      <c r="C17" s="83">
        <v>0.12</v>
      </c>
      <c r="D17" s="82" t="s">
        <v>159</v>
      </c>
    </row>
    <row r="18" spans="2:4" ht="19.5" customHeight="1" x14ac:dyDescent="0.3"/>
    <row r="19" spans="2:4" ht="19.5" customHeight="1" x14ac:dyDescent="0.3">
      <c r="B19" s="89" t="s">
        <v>160</v>
      </c>
      <c r="C19" s="89"/>
      <c r="D19" s="89"/>
    </row>
    <row r="20" spans="2:4" ht="19.5" customHeight="1" x14ac:dyDescent="0.3">
      <c r="B20" s="54" t="s">
        <v>161</v>
      </c>
      <c r="C20" s="83">
        <v>0.85</v>
      </c>
      <c r="D20" s="82" t="s">
        <v>162</v>
      </c>
    </row>
    <row r="21" spans="2:4" ht="19.5" customHeight="1" x14ac:dyDescent="0.3">
      <c r="B21" s="78" t="s">
        <v>163</v>
      </c>
      <c r="C21" s="83">
        <v>0.75</v>
      </c>
      <c r="D21" s="82" t="s">
        <v>164</v>
      </c>
    </row>
    <row r="22" spans="2:4" ht="19.5" customHeight="1" x14ac:dyDescent="0.3">
      <c r="B22" s="54" t="s">
        <v>165</v>
      </c>
      <c r="C22" s="83">
        <v>0.35</v>
      </c>
      <c r="D22" s="82" t="s">
        <v>166</v>
      </c>
    </row>
    <row r="23" spans="2:4" ht="19.5" customHeight="1" x14ac:dyDescent="0.3">
      <c r="B23" s="78" t="s">
        <v>167</v>
      </c>
      <c r="C23" s="83">
        <v>0.25</v>
      </c>
      <c r="D23" s="82" t="s">
        <v>168</v>
      </c>
    </row>
    <row r="24" spans="2:4" ht="19.5" customHeight="1" x14ac:dyDescent="0.3">
      <c r="B24" s="54" t="s">
        <v>169</v>
      </c>
      <c r="C24" s="84">
        <v>4</v>
      </c>
      <c r="D24" s="82" t="s">
        <v>170</v>
      </c>
    </row>
    <row r="25" spans="2:4" ht="19.5" customHeight="1" x14ac:dyDescent="0.3">
      <c r="B25" s="78" t="s">
        <v>171</v>
      </c>
      <c r="C25" s="84">
        <v>2.5</v>
      </c>
      <c r="D25" s="82" t="s">
        <v>172</v>
      </c>
    </row>
    <row r="26" spans="2:4" ht="19.5" customHeight="1" x14ac:dyDescent="0.3"/>
    <row r="27" spans="2:4" ht="19.5" customHeight="1" x14ac:dyDescent="0.3"/>
    <row r="28" spans="2:4" ht="19.5" customHeight="1" x14ac:dyDescent="0.3"/>
    <row r="29" spans="2:4" ht="19.5" customHeight="1" x14ac:dyDescent="0.3"/>
    <row r="30" spans="2:4" ht="19.5" customHeight="1" x14ac:dyDescent="0.3"/>
    <row r="31" spans="2:4" ht="19.5" customHeight="1" x14ac:dyDescent="0.3"/>
    <row r="32" spans="2:4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</sheetData>
  <mergeCells count="5">
    <mergeCell ref="B2:D2"/>
    <mergeCell ref="B4:D4"/>
    <mergeCell ref="B6:D6"/>
    <mergeCell ref="B13:D13"/>
    <mergeCell ref="B19:D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PRODUCCION</vt:lpstr>
      <vt:lpstr>FINANZAS</vt:lpstr>
      <vt:lpstr>INVENTARIO</vt:lpstr>
      <vt:lpstr>RENTABILIDAD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KAIPRO</dc:creator>
  <dc:description/>
  <cp:lastModifiedBy>Adrian Salamea</cp:lastModifiedBy>
  <cp:revision>1</cp:revision>
  <dcterms:created xsi:type="dcterms:W3CDTF">2026-06-22T14:01:45Z</dcterms:created>
  <dcterms:modified xsi:type="dcterms:W3CDTF">2026-06-22T14:34:58Z</dcterms:modified>
  <dc:language>en-US</dc:language>
</cp:coreProperties>
</file>